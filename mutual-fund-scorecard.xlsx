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Benchmark Map" sheetId="2" state="visible" r:id="rId2"/>
    <sheet xmlns:r="http://schemas.openxmlformats.org/officeDocument/2006/relationships" name="Comparison" sheetId="3" state="visible" r:id="rId3"/>
  </sheets>
  <definedNames>
    <definedName name="_xlnm._FilterDatabase" localSheetId="0" hidden="1">'Scorecard'!$A$5:$F$82</definedName>
    <definedName name="_xlnm.Print_Titles" localSheetId="0">'Scorecard'!$5:$5</definedName>
  </definedNames>
  <calcPr calcId="124519" fullCalcOnLoad="1"/>
</workbook>
</file>

<file path=xl/styles.xml><?xml version="1.0" encoding="utf-8"?>
<styleSheet xmlns="http://schemas.openxmlformats.org/spreadsheetml/2006/main">
  <numFmts count="2">
    <numFmt numFmtId="164" formatCode="dd-mmm-yyyy"/>
    <numFmt numFmtId="165" formatCode="0.0"/>
  </numFmts>
  <fonts count="9">
    <font>
      <name val="Calibri"/>
      <family val="2"/>
      <color theme="1"/>
      <sz val="11"/>
      <scheme val="minor"/>
    </font>
    <font>
      <name val="Arial"/>
      <b val="1"/>
      <color rgb="001F3864"/>
      <sz val="14"/>
    </font>
    <font>
      <name val="Arial"/>
      <b val="1"/>
      <sz val="10"/>
    </font>
    <font>
      <name val="Arial"/>
      <color rgb="000000FF"/>
      <sz val="10"/>
    </font>
    <font>
      <name val="Arial"/>
      <i val="1"/>
      <color rgb="00595959"/>
      <sz val="9"/>
    </font>
    <font>
      <name val="Arial"/>
      <b val="1"/>
      <color rgb="00FFFFFF"/>
      <sz val="10"/>
    </font>
    <font>
      <name val="Arial"/>
      <b val="1"/>
      <color rgb="001F3864"/>
      <sz val="10"/>
    </font>
    <font>
      <name val="Arial"/>
      <sz val="10"/>
    </font>
    <font>
      <name val="Arial"/>
      <b val="1"/>
      <color rgb="00006100"/>
      <sz val="10"/>
    </font>
  </fonts>
  <fills count="8">
    <fill>
      <patternFill/>
    </fill>
    <fill>
      <patternFill patternType="gray125"/>
    </fill>
    <fill>
      <patternFill patternType="solid">
        <fgColor rgb="00FFF9DB"/>
      </patternFill>
    </fill>
    <fill>
      <patternFill patternType="solid">
        <fgColor rgb="001F3864"/>
      </patternFill>
    </fill>
    <fill>
      <patternFill patternType="solid">
        <fgColor rgb="00DCE6F2"/>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2" fillId="0" borderId="0" applyAlignment="1" pivotButton="0" quotePrefix="0" xfId="0">
      <alignment horizontal="right"/>
    </xf>
    <xf numFmtId="164" fontId="3" fillId="2" borderId="1" pivotButton="0" quotePrefix="0" xfId="0"/>
    <xf numFmtId="0" fontId="4" fillId="0" borderId="0" applyAlignment="1" pivotButton="0" quotePrefix="0" xfId="0">
      <alignment vertical="top" wrapText="1"/>
    </xf>
    <xf numFmtId="0" fontId="5" fillId="3" borderId="1" applyAlignment="1" pivotButton="0" quotePrefix="0" xfId="0">
      <alignment horizontal="center" vertical="top" wrapText="1"/>
    </xf>
    <xf numFmtId="0" fontId="6" fillId="4" borderId="1" pivotButton="0" quotePrefix="0" xfId="0"/>
    <xf numFmtId="0" fontId="0" fillId="0" borderId="4" pivotButton="0" quotePrefix="0" xfId="0"/>
    <xf numFmtId="0" fontId="0" fillId="0" borderId="5" pivotButton="0" quotePrefix="0" xfId="0"/>
    <xf numFmtId="0" fontId="2" fillId="0" borderId="1" pivotButton="0" quotePrefix="0" xfId="0"/>
    <xf numFmtId="0" fontId="7" fillId="0" borderId="1" applyAlignment="1" pivotButton="0" quotePrefix="0" xfId="0">
      <alignment horizontal="center"/>
    </xf>
    <xf numFmtId="0" fontId="7" fillId="0" borderId="1" applyAlignment="1" pivotButton="0" quotePrefix="0" xfId="0">
      <alignment vertical="top" wrapText="1"/>
    </xf>
    <xf numFmtId="0" fontId="3" fillId="2" borderId="1" applyAlignment="1" pivotButton="0" quotePrefix="0" xfId="0">
      <alignment vertical="top" wrapText="1"/>
    </xf>
    <xf numFmtId="0" fontId="7" fillId="0" borderId="1" applyAlignment="1" pivotButton="0" quotePrefix="0" xfId="0">
      <alignment horizontal="center" vertical="top" wrapText="1"/>
    </xf>
    <xf numFmtId="0" fontId="4" fillId="0" borderId="1" applyAlignment="1" pivotButton="0" quotePrefix="0" xfId="0">
      <alignment vertical="top" wrapText="1"/>
    </xf>
    <xf numFmtId="0" fontId="2" fillId="5" borderId="1" pivotButton="0" quotePrefix="0" xfId="0"/>
    <xf numFmtId="0" fontId="2" fillId="6" borderId="1" pivotButton="0" quotePrefix="0" xfId="0"/>
    <xf numFmtId="0" fontId="2" fillId="7" borderId="1" pivotButton="0" quotePrefix="0" xfId="0"/>
    <xf numFmtId="9" fontId="7" fillId="0" borderId="1" applyAlignment="1" pivotButton="0" quotePrefix="0" xfId="0">
      <alignment horizontal="center"/>
    </xf>
    <xf numFmtId="0" fontId="4" fillId="0" borderId="0" pivotButton="0" quotePrefix="0" xfId="0"/>
    <xf numFmtId="0" fontId="2" fillId="0" borderId="1" applyAlignment="1" pivotButton="0" quotePrefix="0" xfId="0">
      <alignment vertical="top" wrapText="1"/>
    </xf>
    <xf numFmtId="0" fontId="3" fillId="2" borderId="1" applyAlignment="1" pivotButton="0" quotePrefix="0" xfId="0">
      <alignment horizontal="center" wrapText="1"/>
    </xf>
    <xf numFmtId="0" fontId="0" fillId="0" borderId="1" pivotButton="0" quotePrefix="0" xfId="0"/>
    <xf numFmtId="3" fontId="3" fillId="2" borderId="1" applyAlignment="1" pivotButton="0" quotePrefix="0" xfId="0">
      <alignment horizontal="center" wrapText="1"/>
    </xf>
    <xf numFmtId="10" fontId="3" fillId="2" borderId="1" applyAlignment="1" pivotButton="0" quotePrefix="0" xfId="0">
      <alignment horizontal="center" wrapText="1"/>
    </xf>
    <xf numFmtId="0" fontId="8" fillId="0" borderId="1" applyAlignment="1" pivotButton="0" quotePrefix="0" xfId="0">
      <alignment horizontal="center"/>
    </xf>
    <xf numFmtId="2" fontId="3" fillId="2" borderId="1" applyAlignment="1" pivotButton="0" quotePrefix="0" xfId="0">
      <alignment horizontal="center" wrapText="1"/>
    </xf>
    <xf numFmtId="1" fontId="3" fillId="2" borderId="1" applyAlignment="1" pivotButton="0" quotePrefix="0" xfId="0">
      <alignment horizontal="center" wrapText="1"/>
    </xf>
    <xf numFmtId="165" fontId="3" fillId="2" borderId="1" applyAlignment="1" pivotButton="0" quotePrefix="0" xfId="0">
      <alignment horizontal="center" wrapText="1"/>
    </xf>
  </cellXfs>
  <cellStyles count="1">
    <cellStyle name="Normal" xfId="0" builtinId="0" hidden="0"/>
  </cellStyles>
  <dxfs count="3">
    <dxf>
      <font>
        <name val="Arial"/>
        <b val="1"/>
        <color rgb="00006100"/>
      </font>
      <fill>
        <patternFill patternType="solid">
          <fgColor rgb="00C6EFCE"/>
        </patternFill>
      </fill>
    </dxf>
    <dxf>
      <font>
        <name val="Arial"/>
        <b val="1"/>
        <color rgb="009C5700"/>
      </font>
      <fill>
        <patternFill patternType="solid">
          <fgColor rgb="00FFEB9C"/>
        </patternFill>
      </fill>
    </dxf>
    <dxf>
      <font>
        <name val="Arial"/>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82"/>
  <sheetViews>
    <sheetView showGridLines="0" workbookViewId="0">
      <pane ySplit="5" topLeftCell="A6" activePane="bottomLeft" state="frozen"/>
      <selection pane="bottomLeft" activeCell="A1" sqref="A1"/>
    </sheetView>
  </sheetViews>
  <sheetFormatPr baseColWidth="8" defaultRowHeight="15"/>
  <cols>
    <col width="44" customWidth="1" min="1" max="1"/>
    <col width="18" customWidth="1" min="2" max="2"/>
    <col width="14" customWidth="1" min="3" max="3"/>
    <col width="16" customWidth="1" min="4" max="4"/>
    <col width="11" customWidth="1" min="5" max="5"/>
    <col width="40" customWidth="1" min="6" max="6"/>
    <col width="26" customWidth="1" min="8" max="8"/>
    <col width="10" customWidth="1" min="9" max="9"/>
  </cols>
  <sheetData>
    <row r="1">
      <c r="A1" s="1" t="inlineStr">
        <is>
          <t>Mutual Fund Scorecard</t>
        </is>
      </c>
    </row>
    <row r="2">
      <c r="A2" s="2" t="inlineStr">
        <is>
          <t>Fund under review:</t>
        </is>
      </c>
      <c r="B2" s="3" t="n"/>
      <c r="C2" s="4" t="inlineStr">
        <is>
          <t>Review date:</t>
        </is>
      </c>
      <c r="D2" s="5" t="n"/>
    </row>
    <row r="3" ht="42" customHeight="1">
      <c r="A3" s="6" t="inlineStr">
        <is>
          <t>How to use: fill the yellow cells (blue text) in columns C and D, then pick a Verdict (Pass / Watch / Fail) from the dropdown. Example: TER row, Fund Value 0.65%, Benchmark/Category Average 0.80%, Verdict Pass. Notes start with a guide from the review guide (Section 1); overwrite them with your own notes. Summary counts update automatically.</t>
        </is>
      </c>
    </row>
    <row r="4"/>
    <row r="5">
      <c r="A5" s="7" t="inlineStr">
        <is>
          <t>Parameter</t>
        </is>
      </c>
      <c r="B5" s="7" t="inlineStr">
        <is>
          <t>Category</t>
        </is>
      </c>
      <c r="C5" s="7" t="inlineStr">
        <is>
          <t>Fund Value</t>
        </is>
      </c>
      <c r="D5" s="7" t="inlineStr">
        <is>
          <t>Benchmark/Category Average</t>
        </is>
      </c>
      <c r="E5" s="7" t="inlineStr">
        <is>
          <t>Verdict</t>
        </is>
      </c>
      <c r="F5" s="7" t="inlineStr">
        <is>
          <t>Notes</t>
        </is>
      </c>
      <c r="H5" s="7" t="inlineStr">
        <is>
          <t>Summary</t>
        </is>
      </c>
      <c r="I5" s="7" t="inlineStr">
        <is>
          <t>Count</t>
        </is>
      </c>
    </row>
    <row r="6">
      <c r="A6" s="8" t="inlineStr">
        <is>
          <t>BASIC INFORMATION</t>
        </is>
      </c>
      <c r="B6" s="9" t="n"/>
      <c r="C6" s="9" t="n"/>
      <c r="D6" s="9" t="n"/>
      <c r="E6" s="9" t="n"/>
      <c r="F6" s="10" t="n"/>
      <c r="H6" s="11" t="inlineStr">
        <is>
          <t>Parameters</t>
        </is>
      </c>
      <c r="I6" s="12">
        <f>COUNTIF($B$6:$B$82,"?*")</f>
        <v/>
      </c>
    </row>
    <row r="7">
      <c r="A7" s="13" t="inlineStr">
        <is>
          <t>Scheme name, plan and option</t>
        </is>
      </c>
      <c r="B7" s="13" t="inlineStr">
        <is>
          <t>Basic information</t>
        </is>
      </c>
      <c r="C7" s="14" t="n"/>
      <c r="D7" s="14" t="n"/>
      <c r="E7" s="15" t="n"/>
      <c r="F7" s="16" t="inlineStr">
        <is>
          <t>Guide: Record direct plan, growth option</t>
        </is>
      </c>
      <c r="H7" s="17" t="inlineStr">
        <is>
          <t>Pass</t>
        </is>
      </c>
      <c r="I7" s="12">
        <f>COUNTIF($E$6:$E$82,"Pass")</f>
        <v/>
      </c>
    </row>
    <row r="8">
      <c r="A8" s="13" t="inlineStr">
        <is>
          <t>SEBI category</t>
        </is>
      </c>
      <c r="B8" s="13" t="inlineStr">
        <is>
          <t>Basic information</t>
        </is>
      </c>
      <c r="C8" s="14" t="n"/>
      <c r="D8" s="14" t="n"/>
      <c r="E8" s="15" t="n"/>
      <c r="F8" s="16" t="inlineStr">
        <is>
          <t>Guide: Must match the role in your portfolio</t>
        </is>
      </c>
      <c r="H8" s="18" t="inlineStr">
        <is>
          <t>Watch</t>
        </is>
      </c>
      <c r="I8" s="12">
        <f>COUNTIF($E$6:$E$82,"Watch")</f>
        <v/>
      </c>
    </row>
    <row r="9">
      <c r="A9" s="13" t="inlineStr">
        <is>
          <t>AMC</t>
        </is>
      </c>
      <c r="B9" s="13" t="inlineStr">
        <is>
          <t>Basic information</t>
        </is>
      </c>
      <c r="C9" s="14" t="n"/>
      <c r="D9" s="14" t="n"/>
      <c r="E9" s="15" t="n"/>
      <c r="F9" s="16" t="inlineStr">
        <is>
          <t>Guide: Check SEBI orders against the AMC</t>
        </is>
      </c>
      <c r="H9" s="19" t="inlineStr">
        <is>
          <t>Fail</t>
        </is>
      </c>
      <c r="I9" s="12">
        <f>COUNTIF($E$6:$E$82,"Fail")</f>
        <v/>
      </c>
    </row>
    <row r="10">
      <c r="A10" s="13" t="inlineStr">
        <is>
          <t>Launch date and track record length</t>
        </is>
      </c>
      <c r="B10" s="13" t="inlineStr">
        <is>
          <t>Basic information</t>
        </is>
      </c>
      <c r="C10" s="14" t="n"/>
      <c r="D10" s="14" t="n"/>
      <c r="E10" s="15" t="n"/>
      <c r="F10" s="16" t="inlineStr">
        <is>
          <t>Guide: Watch if under 5 years old</t>
        </is>
      </c>
      <c r="H10" s="11" t="inlineStr">
        <is>
          <t>Not yet assessed</t>
        </is>
      </c>
      <c r="I10" s="12">
        <f>I6-I7-I8-I9</f>
        <v/>
      </c>
    </row>
    <row r="11">
      <c r="A11" s="13" t="inlineStr">
        <is>
          <t>AUM (scheme)</t>
        </is>
      </c>
      <c r="B11" s="13" t="inlineStr">
        <is>
          <t>Basic information</t>
        </is>
      </c>
      <c r="C11" s="14" t="n"/>
      <c r="D11" s="14" t="n"/>
      <c r="E11" s="15" t="n"/>
      <c r="F11" s="16" t="inlineStr">
        <is>
          <t>Guide: Compare with category peers</t>
        </is>
      </c>
      <c r="H11" s="11" t="inlineStr">
        <is>
          <t>Pass rate (of assessed)</t>
        </is>
      </c>
      <c r="I11" s="20">
        <f>IF((I7+I8+I9)=0,"",I7/(I7+I8+I9))</f>
        <v/>
      </c>
    </row>
    <row r="12">
      <c r="A12" s="13" t="inlineStr">
        <is>
          <t>Investment objective</t>
        </is>
      </c>
      <c r="B12" s="13" t="inlineStr">
        <is>
          <t>Basic information</t>
        </is>
      </c>
      <c r="C12" s="14" t="n"/>
      <c r="D12" s="14" t="n"/>
      <c r="E12" s="15" t="n"/>
      <c r="F12" s="16" t="inlineStr">
        <is>
          <t>Guide: Quote from SID</t>
        </is>
      </c>
    </row>
    <row r="13">
      <c r="A13" s="13" t="inlineStr">
        <is>
          <t>SEBI riskometer level</t>
        </is>
      </c>
      <c r="B13" s="13" t="inlineStr">
        <is>
          <t>Basic information</t>
        </is>
      </c>
      <c r="C13" s="14" t="n"/>
      <c r="D13" s="14" t="n"/>
      <c r="E13" s="15" t="n"/>
      <c r="F13" s="16" t="inlineStr">
        <is>
          <t>Guide: Low / Low to Moderate / Moderate / Moderately High / High / Very High</t>
        </is>
      </c>
      <c r="H13" s="21" t="inlineStr">
        <is>
          <t>Rule of thumb: any Fail in Cost, Management or</t>
        </is>
      </c>
    </row>
    <row r="14">
      <c r="A14" s="8" t="inlineStr">
        <is>
          <t>COST</t>
        </is>
      </c>
      <c r="B14" s="9" t="n"/>
      <c r="C14" s="9" t="n"/>
      <c r="D14" s="9" t="n"/>
      <c r="E14" s="9" t="n"/>
      <c r="F14" s="10" t="n"/>
      <c r="H14" s="21" t="inlineStr">
        <is>
          <t>Debt-specific credit checks deserves a full review.</t>
        </is>
      </c>
    </row>
    <row r="15">
      <c r="A15" s="13" t="inlineStr">
        <is>
          <t>Total expense ratio (TER)</t>
        </is>
      </c>
      <c r="B15" s="13" t="inlineStr">
        <is>
          <t>Cost</t>
        </is>
      </c>
      <c r="C15" s="14" t="n"/>
      <c r="D15" s="14" t="n"/>
      <c r="E15" s="15" t="n"/>
      <c r="F15" s="16" t="inlineStr">
        <is>
          <t>Guide: Lower is better</t>
        </is>
      </c>
    </row>
    <row r="16">
      <c r="A16" s="13" t="inlineStr">
        <is>
          <t>TER vs category average</t>
        </is>
      </c>
      <c r="B16" s="13" t="inlineStr">
        <is>
          <t>Cost</t>
        </is>
      </c>
      <c r="C16" s="14" t="n"/>
      <c r="D16" s="14" t="n"/>
      <c r="E16" s="15" t="n"/>
      <c r="F16" s="16" t="inlineStr">
        <is>
          <t>Guide: Rule of thumb, not a regulation</t>
        </is>
      </c>
    </row>
    <row r="17">
      <c r="A17" s="13" t="inlineStr">
        <is>
          <t>Expense trend</t>
        </is>
      </c>
      <c r="B17" s="13" t="inlineStr">
        <is>
          <t>Cost</t>
        </is>
      </c>
      <c r="C17" s="14" t="n"/>
      <c r="D17" s="14" t="n"/>
      <c r="E17" s="15" t="n"/>
      <c r="F17" s="16" t="inlineStr">
        <is>
          <t>Guide: Check 3 years of history</t>
        </is>
      </c>
    </row>
    <row r="18">
      <c r="A18" s="13" t="inlineStr">
        <is>
          <t>Exit load</t>
        </is>
      </c>
      <c r="B18" s="13" t="inlineStr">
        <is>
          <t>Cost</t>
        </is>
      </c>
      <c r="C18" s="14" t="n"/>
      <c r="D18" s="14" t="n"/>
      <c r="E18" s="15" t="n"/>
      <c r="F18" s="16" t="inlineStr">
        <is>
          <t>Guide: Note load and period</t>
        </is>
      </c>
    </row>
    <row r="19">
      <c r="A19" s="13" t="inlineStr">
        <is>
          <t>Lock-in</t>
        </is>
      </c>
      <c r="B19" s="13" t="inlineStr">
        <is>
          <t>Cost</t>
        </is>
      </c>
      <c r="C19" s="14" t="n"/>
      <c r="D19" s="14" t="n"/>
      <c r="E19" s="15" t="n"/>
      <c r="F19" s="16" t="inlineStr">
        <is>
          <t>Guide: ELSS: 3 years per instalment</t>
        </is>
      </c>
    </row>
    <row r="20">
      <c r="A20" s="13" t="inlineStr">
        <is>
          <t>Direct vs regular plan</t>
        </is>
      </c>
      <c r="B20" s="13" t="inlineStr">
        <is>
          <t>Cost</t>
        </is>
      </c>
      <c r="C20" s="14" t="n"/>
      <c r="D20" s="14" t="n"/>
      <c r="E20" s="15" t="n"/>
      <c r="F20" s="16" t="inlineStr">
        <is>
          <t>Guide: Record TER gap in % points</t>
        </is>
      </c>
    </row>
    <row r="21">
      <c r="A21" s="8" t="inlineStr">
        <is>
          <t>RETURNS</t>
        </is>
      </c>
      <c r="B21" s="9" t="n"/>
      <c r="C21" s="9" t="n"/>
      <c r="D21" s="9" t="n"/>
      <c r="E21" s="9" t="n"/>
      <c r="F21" s="10" t="n"/>
    </row>
    <row r="22">
      <c r="A22" s="13" t="inlineStr">
        <is>
          <t>1Y / 3Y / 5Y / 10Y trailing returns (CAGR)</t>
        </is>
      </c>
      <c r="B22" s="13" t="inlineStr">
        <is>
          <t>Returns</t>
        </is>
      </c>
      <c r="C22" s="14" t="n"/>
      <c r="D22" s="14" t="n"/>
      <c r="E22" s="15" t="n"/>
      <c r="F22" s="16" t="inlineStr">
        <is>
          <t>Guide: Never judge on 1Y alone</t>
        </is>
      </c>
    </row>
    <row r="23">
      <c r="A23" s="13" t="inlineStr">
        <is>
          <t>Since inception return</t>
        </is>
      </c>
      <c r="B23" s="13" t="inlineStr">
        <is>
          <t>Returns</t>
        </is>
      </c>
      <c r="C23" s="14" t="n"/>
      <c r="D23" s="14" t="n"/>
      <c r="E23" s="15" t="n"/>
      <c r="F23" s="16" t="inlineStr">
        <is>
          <t>Guide: Low weight</t>
        </is>
      </c>
    </row>
    <row r="24">
      <c r="A24" s="13" t="inlineStr">
        <is>
          <t>Rolling returns (3Y and 5Y)</t>
        </is>
      </c>
      <c r="B24" s="13" t="inlineStr">
        <is>
          <t>Returns</t>
        </is>
      </c>
      <c r="C24" s="14" t="n"/>
      <c r="D24" s="14" t="n"/>
      <c r="E24" s="15" t="n"/>
      <c r="F24" s="16" t="inlineStr">
        <is>
          <t>Guide: Record % of periods beating benchmark</t>
        </is>
      </c>
    </row>
    <row r="25">
      <c r="A25" s="13" t="inlineStr">
        <is>
          <t>Calendar year returns</t>
        </is>
      </c>
      <c r="B25" s="13" t="inlineStr">
        <is>
          <t>Returns</t>
        </is>
      </c>
      <c r="C25" s="14" t="n"/>
      <c r="D25" s="14" t="n"/>
      <c r="E25" s="15" t="n"/>
      <c r="F25" s="16" t="inlineStr">
        <is>
          <t>Guide: Compare year by year with benchmark</t>
        </is>
      </c>
    </row>
    <row r="26">
      <c r="A26" s="13" t="inlineStr">
        <is>
          <t>SIP return vs lumpsum return</t>
        </is>
      </c>
      <c r="B26" s="13" t="inlineStr">
        <is>
          <t>Returns</t>
        </is>
      </c>
      <c r="C26" s="14" t="n"/>
      <c r="D26" s="14" t="n"/>
      <c r="E26" s="15" t="n"/>
      <c r="F26" s="16" t="inlineStr">
        <is>
          <t>Guide: Use XIRR for SIP</t>
        </is>
      </c>
    </row>
    <row r="27">
      <c r="A27" s="13" t="inlineStr">
        <is>
          <t>Return vs benchmark TRI</t>
        </is>
      </c>
      <c r="B27" s="13" t="inlineStr">
        <is>
          <t>Returns</t>
        </is>
      </c>
      <c r="C27" s="14" t="n"/>
      <c r="D27" s="14" t="n"/>
      <c r="E27" s="15" t="n"/>
      <c r="F27" s="16" t="inlineStr">
        <is>
          <t>Guide: Excess return = fund minus TRI</t>
        </is>
      </c>
    </row>
    <row r="28">
      <c r="A28" s="13" t="inlineStr">
        <is>
          <t>Return vs category average</t>
        </is>
      </c>
      <c r="B28" s="13" t="inlineStr">
        <is>
          <t>Returns</t>
        </is>
      </c>
      <c r="C28" s="14" t="n"/>
      <c r="D28" s="14" t="n"/>
      <c r="E28" s="15" t="n"/>
      <c r="F28" s="16" t="inlineStr">
        <is>
          <t>Guide: Use quartile, not rank alone</t>
        </is>
      </c>
    </row>
    <row r="29">
      <c r="A29" s="8" t="inlineStr">
        <is>
          <t>RISK</t>
        </is>
      </c>
      <c r="B29" s="9" t="n"/>
      <c r="C29" s="9" t="n"/>
      <c r="D29" s="9" t="n"/>
      <c r="E29" s="9" t="n"/>
      <c r="F29" s="10" t="n"/>
    </row>
    <row r="30">
      <c r="A30" s="13" t="inlineStr">
        <is>
          <t>Standard deviation</t>
        </is>
      </c>
      <c r="B30" s="13" t="inlineStr">
        <is>
          <t>Risk</t>
        </is>
      </c>
      <c r="C30" s="14" t="n"/>
      <c r="D30" s="14" t="n"/>
      <c r="E30" s="15" t="n"/>
      <c r="F30" s="16" t="inlineStr">
        <is>
          <t>Guide: Lower is better for same return</t>
        </is>
      </c>
    </row>
    <row r="31">
      <c r="A31" s="13" t="inlineStr">
        <is>
          <t>Downside deviation</t>
        </is>
      </c>
      <c r="B31" s="13" t="inlineStr">
        <is>
          <t>Risk</t>
        </is>
      </c>
      <c r="C31" s="14" t="n"/>
      <c r="D31" s="14" t="n"/>
      <c r="E31" s="15" t="n"/>
      <c r="F31" s="16" t="inlineStr">
        <is>
          <t>Guide: Lower is better</t>
        </is>
      </c>
    </row>
    <row r="32">
      <c r="A32" s="13" t="inlineStr">
        <is>
          <t>Sharpe ratio</t>
        </is>
      </c>
      <c r="B32" s="13" t="inlineStr">
        <is>
          <t>Risk</t>
        </is>
      </c>
      <c r="C32" s="14" t="n"/>
      <c r="D32" s="14" t="n"/>
      <c r="E32" s="15" t="n"/>
      <c r="F32" s="16" t="inlineStr">
        <is>
          <t>Guide: Higher is better</t>
        </is>
      </c>
    </row>
    <row r="33">
      <c r="A33" s="13" t="inlineStr">
        <is>
          <t>Sortino ratio</t>
        </is>
      </c>
      <c r="B33" s="13" t="inlineStr">
        <is>
          <t>Risk</t>
        </is>
      </c>
      <c r="C33" s="14" t="n"/>
      <c r="D33" s="14" t="n"/>
      <c r="E33" s="15" t="n"/>
      <c r="F33" s="16" t="inlineStr">
        <is>
          <t>Guide: Higher is better</t>
        </is>
      </c>
    </row>
    <row r="34">
      <c r="A34" s="13" t="inlineStr">
        <is>
          <t>Treynor ratio</t>
        </is>
      </c>
      <c r="B34" s="13" t="inlineStr">
        <is>
          <t>Risk</t>
        </is>
      </c>
      <c r="C34" s="14" t="n"/>
      <c r="D34" s="14" t="n"/>
      <c r="E34" s="15" t="n"/>
      <c r="F34" s="16" t="inlineStr">
        <is>
          <t>Guide: Higher is better</t>
        </is>
      </c>
    </row>
    <row r="35">
      <c r="A35" s="13" t="inlineStr">
        <is>
          <t>Jensen's alpha</t>
        </is>
      </c>
      <c r="B35" s="13" t="inlineStr">
        <is>
          <t>Risk</t>
        </is>
      </c>
      <c r="C35" s="14" t="n"/>
      <c r="D35" s="14" t="n"/>
      <c r="E35" s="15" t="n"/>
      <c r="F35" s="16" t="inlineStr">
        <is>
          <t>Guide: Positive = value added</t>
        </is>
      </c>
    </row>
    <row r="36">
      <c r="A36" s="13" t="inlineStr">
        <is>
          <t>Alpha (as reported)</t>
        </is>
      </c>
      <c r="B36" s="13" t="inlineStr">
        <is>
          <t>Risk</t>
        </is>
      </c>
      <c r="C36" s="14" t="n"/>
      <c r="D36" s="14" t="n"/>
      <c r="E36" s="15" t="n"/>
      <c r="F36" s="16" t="inlineStr">
        <is>
          <t>Guide: Note the definition used</t>
        </is>
      </c>
    </row>
    <row r="37">
      <c r="A37" s="13" t="inlineStr">
        <is>
          <t>Beta</t>
        </is>
      </c>
      <c r="B37" s="13" t="inlineStr">
        <is>
          <t>Risk</t>
        </is>
      </c>
      <c r="C37" s="14" t="n"/>
      <c r="D37" s="14" t="n"/>
      <c r="E37" s="15" t="n"/>
      <c r="F37" s="16" t="inlineStr">
        <is>
          <t>Guide: Compare with stated style</t>
        </is>
      </c>
    </row>
    <row r="38">
      <c r="A38" s="13" t="inlineStr">
        <is>
          <t>Beta stability</t>
        </is>
      </c>
      <c r="B38" s="13" t="inlineStr">
        <is>
          <t>Risk</t>
        </is>
      </c>
      <c r="C38" s="14" t="n"/>
      <c r="D38" s="14" t="n"/>
      <c r="E38" s="15" t="n"/>
      <c r="F38" s="16" t="inlineStr">
        <is>
          <t>Guide: Rule of thumb</t>
        </is>
      </c>
    </row>
    <row r="39">
      <c r="A39" s="13" t="inlineStr">
        <is>
          <t>Maximum drawdown</t>
        </is>
      </c>
      <c r="B39" s="13" t="inlineStr">
        <is>
          <t>Risk</t>
        </is>
      </c>
      <c r="C39" s="14" t="n"/>
      <c r="D39" s="14" t="n"/>
      <c r="E39" s="15" t="n"/>
      <c r="F39" s="16" t="inlineStr">
        <is>
          <t>Guide: Compare in same window</t>
        </is>
      </c>
    </row>
    <row r="40">
      <c r="A40" s="13" t="inlineStr">
        <is>
          <t>Recovery time</t>
        </is>
      </c>
      <c r="B40" s="13" t="inlineStr">
        <is>
          <t>Risk</t>
        </is>
      </c>
      <c r="C40" s="14" t="n"/>
      <c r="D40" s="14" t="n"/>
      <c r="E40" s="15" t="n"/>
      <c r="F40" s="16" t="inlineStr">
        <is>
          <t>Guide: Months to recover</t>
        </is>
      </c>
    </row>
    <row r="41">
      <c r="A41" s="13" t="inlineStr">
        <is>
          <t>Upside / downside capture ratio</t>
        </is>
      </c>
      <c r="B41" s="13" t="inlineStr">
        <is>
          <t>Risk</t>
        </is>
      </c>
      <c r="C41" s="14" t="n"/>
      <c r="D41" s="14" t="n"/>
      <c r="E41" s="15" t="n"/>
      <c r="F41" s="16" t="inlineStr">
        <is>
          <t>Guide: Downside &lt; upside is good</t>
        </is>
      </c>
    </row>
    <row r="42">
      <c r="A42" s="13" t="inlineStr">
        <is>
          <t>R-squared</t>
        </is>
      </c>
      <c r="B42" s="13" t="inlineStr">
        <is>
          <t>Risk</t>
        </is>
      </c>
      <c r="C42" s="14" t="n"/>
      <c r="D42" s="14" t="n"/>
      <c r="E42" s="15" t="n"/>
      <c r="F42" s="16" t="inlineStr">
        <is>
          <t>Guide: Low value = check benchmark fit</t>
        </is>
      </c>
    </row>
    <row r="43">
      <c r="A43" s="8" t="inlineStr">
        <is>
          <t>PORTFOLIO</t>
        </is>
      </c>
      <c r="B43" s="9" t="n"/>
      <c r="C43" s="9" t="n"/>
      <c r="D43" s="9" t="n"/>
      <c r="E43" s="9" t="n"/>
      <c r="F43" s="10" t="n"/>
    </row>
    <row r="44">
      <c r="A44" s="13" t="inlineStr">
        <is>
          <t>Top holdings</t>
        </is>
      </c>
      <c r="B44" s="13" t="inlineStr">
        <is>
          <t>Portfolio</t>
        </is>
      </c>
      <c r="C44" s="14" t="n"/>
      <c r="D44" s="14" t="n"/>
      <c r="E44" s="15" t="n"/>
      <c r="F44" s="16" t="inlineStr">
        <is>
          <t>Guide: Context, not a verdict</t>
        </is>
      </c>
    </row>
    <row r="45">
      <c r="A45" s="13" t="inlineStr">
        <is>
          <t>Top-10 concentration</t>
        </is>
      </c>
      <c r="B45" s="13" t="inlineStr">
        <is>
          <t>Portfolio</t>
        </is>
      </c>
      <c r="C45" s="14" t="n"/>
      <c r="D45" s="14" t="n"/>
      <c r="E45" s="15" t="n"/>
      <c r="F45" s="16" t="inlineStr">
        <is>
          <t>Guide: Compare with benchmark top-10</t>
        </is>
      </c>
    </row>
    <row r="46">
      <c r="A46" s="13" t="inlineStr">
        <is>
          <t>Sector allocation</t>
        </is>
      </c>
      <c r="B46" s="13" t="inlineStr">
        <is>
          <t>Portfolio</t>
        </is>
      </c>
      <c r="C46" s="14" t="n"/>
      <c r="D46" s="14" t="n"/>
      <c r="E46" s="15" t="n"/>
      <c r="F46" s="16" t="inlineStr">
        <is>
          <t>Guide: Note largest over/underweights</t>
        </is>
      </c>
    </row>
    <row r="47">
      <c r="A47" s="13" t="inlineStr">
        <is>
          <t>Market cap breakup</t>
        </is>
      </c>
      <c r="B47" s="13" t="inlineStr">
        <is>
          <t>Portfolio</t>
        </is>
      </c>
      <c r="C47" s="14" t="n"/>
      <c r="D47" s="14" t="n"/>
      <c r="E47" s="15" t="n"/>
      <c r="F47" s="16" t="inlineStr">
        <is>
          <t>Guide: Check against SEBI mandate</t>
        </is>
      </c>
    </row>
    <row r="48">
      <c r="A48" s="13" t="inlineStr">
        <is>
          <t>Number of stocks</t>
        </is>
      </c>
      <c r="B48" s="13" t="inlineStr">
        <is>
          <t>Portfolio</t>
        </is>
      </c>
      <c r="C48" s="14" t="n"/>
      <c r="D48" s="14" t="n"/>
      <c r="E48" s="15" t="n"/>
      <c r="F48" s="16" t="inlineStr">
        <is>
          <t>Guide: Concentration vs closet indexing</t>
        </is>
      </c>
    </row>
    <row r="49">
      <c r="A49" s="13" t="inlineStr">
        <is>
          <t>Portfolio turnover ratio</t>
        </is>
      </c>
      <c r="B49" s="13" t="inlineStr">
        <is>
          <t>Portfolio</t>
        </is>
      </c>
      <c r="C49" s="14" t="n"/>
      <c r="D49" s="14" t="n"/>
      <c r="E49" s="15" t="n"/>
      <c r="F49" s="16" t="inlineStr">
        <is>
          <t>Guide: Lower usually better</t>
        </is>
      </c>
    </row>
    <row r="50">
      <c r="A50" s="13" t="inlineStr">
        <is>
          <t>Cash position</t>
        </is>
      </c>
      <c r="B50" s="13" t="inlineStr">
        <is>
          <t>Portfolio</t>
        </is>
      </c>
      <c r="C50" s="14" t="n"/>
      <c r="D50" s="14" t="n"/>
      <c r="E50" s="15" t="n"/>
      <c r="F50" s="16" t="inlineStr">
        <is>
          <t>Guide: Note % cash</t>
        </is>
      </c>
    </row>
    <row r="51">
      <c r="A51" s="13" t="inlineStr">
        <is>
          <t>Overlap with existing holdings</t>
        </is>
      </c>
      <c r="B51" s="13" t="inlineStr">
        <is>
          <t>Portfolio</t>
        </is>
      </c>
      <c r="C51" s="14" t="n"/>
      <c r="D51" s="14" t="n"/>
      <c r="E51" s="15" t="n"/>
      <c r="F51" s="16" t="inlineStr">
        <is>
          <t>Guide: Rule of thumb</t>
        </is>
      </c>
    </row>
    <row r="52">
      <c r="A52" s="8" t="inlineStr">
        <is>
          <t>VALUATION</t>
        </is>
      </c>
      <c r="B52" s="9" t="n"/>
      <c r="C52" s="9" t="n"/>
      <c r="D52" s="9" t="n"/>
      <c r="E52" s="9" t="n"/>
      <c r="F52" s="10" t="n"/>
    </row>
    <row r="53">
      <c r="A53" s="13" t="inlineStr">
        <is>
          <t>Portfolio P/E</t>
        </is>
      </c>
      <c r="B53" s="13" t="inlineStr">
        <is>
          <t>Valuation</t>
        </is>
      </c>
      <c r="C53" s="14" t="n"/>
      <c r="D53" s="14" t="n"/>
      <c r="E53" s="15" t="n"/>
      <c r="F53" s="16" t="inlineStr">
        <is>
          <t>Guide: Compare with benchmark</t>
        </is>
      </c>
    </row>
    <row r="54">
      <c r="A54" s="13" t="inlineStr">
        <is>
          <t>Portfolio P/B</t>
        </is>
      </c>
      <c r="B54" s="13" t="inlineStr">
        <is>
          <t>Valuation</t>
        </is>
      </c>
      <c r="C54" s="14" t="n"/>
      <c r="D54" s="14" t="n"/>
      <c r="E54" s="15" t="n"/>
      <c r="F54" s="16" t="inlineStr">
        <is>
          <t>Guide: Compare with benchmark</t>
        </is>
      </c>
    </row>
    <row r="55">
      <c r="A55" s="13" t="inlineStr">
        <is>
          <t>PEG ratio</t>
        </is>
      </c>
      <c r="B55" s="13" t="inlineStr">
        <is>
          <t>Valuation</t>
        </is>
      </c>
      <c r="C55" s="14" t="n"/>
      <c r="D55" s="14" t="n"/>
      <c r="E55" s="15" t="n"/>
      <c r="F55" s="16" t="inlineStr">
        <is>
          <t>Guide: Rule of thumb</t>
        </is>
      </c>
    </row>
    <row r="56">
      <c r="A56" s="13" t="inlineStr">
        <is>
          <t>Dividend yield</t>
        </is>
      </c>
      <c r="B56" s="13" t="inlineStr">
        <is>
          <t>Valuation</t>
        </is>
      </c>
      <c r="C56" s="14" t="n"/>
      <c r="D56" s="14" t="n"/>
      <c r="E56" s="15" t="n"/>
      <c r="F56" s="16" t="inlineStr">
        <is>
          <t>Guide: Compare with benchmark</t>
        </is>
      </c>
    </row>
    <row r="57">
      <c r="A57" s="13" t="inlineStr">
        <is>
          <t>Earnings growth</t>
        </is>
      </c>
      <c r="B57" s="13" t="inlineStr">
        <is>
          <t>Valuation</t>
        </is>
      </c>
      <c r="C57" s="14" t="n"/>
      <c r="D57" s="14" t="n"/>
      <c r="E57" s="15" t="n"/>
      <c r="F57" s="16" t="inlineStr">
        <is>
          <t>Guide: Pair with P/E</t>
        </is>
      </c>
    </row>
    <row r="58">
      <c r="A58" s="13" t="inlineStr">
        <is>
          <t>Return on equity (ROE)</t>
        </is>
      </c>
      <c r="B58" s="13" t="inlineStr">
        <is>
          <t>Valuation</t>
        </is>
      </c>
      <c r="C58" s="14" t="n"/>
      <c r="D58" s="14" t="n"/>
      <c r="E58" s="15" t="n"/>
      <c r="F58" s="16" t="inlineStr">
        <is>
          <t>Guide: Higher = quality tilt</t>
        </is>
      </c>
    </row>
    <row r="59">
      <c r="A59" s="8" t="inlineStr">
        <is>
          <t>MANAGEMENT</t>
        </is>
      </c>
      <c r="B59" s="9" t="n"/>
      <c r="C59" s="9" t="n"/>
      <c r="D59" s="9" t="n"/>
      <c r="E59" s="9" t="n"/>
      <c r="F59" s="10" t="n"/>
    </row>
    <row r="60">
      <c r="A60" s="13" t="inlineStr">
        <is>
          <t>Fund manager name(s)</t>
        </is>
      </c>
      <c r="B60" s="13" t="inlineStr">
        <is>
          <t>Management</t>
        </is>
      </c>
      <c r="C60" s="14" t="n"/>
      <c r="D60" s="14" t="n"/>
      <c r="E60" s="15" t="n"/>
      <c r="F60" s="16" t="inlineStr">
        <is>
          <t>Guide: List all managers</t>
        </is>
      </c>
    </row>
    <row r="61">
      <c r="A61" s="13" t="inlineStr">
        <is>
          <t>Tenure on this scheme</t>
        </is>
      </c>
      <c r="B61" s="13" t="inlineStr">
        <is>
          <t>Management</t>
        </is>
      </c>
      <c r="C61" s="14" t="n"/>
      <c r="D61" s="14" t="n"/>
      <c r="E61" s="15" t="n"/>
      <c r="F61" s="16" t="inlineStr">
        <is>
          <t>Guide: Years on this scheme</t>
        </is>
      </c>
    </row>
    <row r="62">
      <c r="A62" s="13" t="inlineStr">
        <is>
          <t>Track record across schemes</t>
        </is>
      </c>
      <c r="B62" s="13" t="inlineStr">
        <is>
          <t>Management</t>
        </is>
      </c>
      <c r="C62" s="14" t="n"/>
      <c r="D62" s="14" t="n"/>
      <c r="E62" s="15" t="n"/>
      <c r="F62" s="16" t="inlineStr">
        <is>
          <t>Guide: Check other schemes</t>
        </is>
      </c>
    </row>
    <row r="63">
      <c r="A63" s="13" t="inlineStr">
        <is>
          <t>Team vs star manager</t>
        </is>
      </c>
      <c r="B63" s="13" t="inlineStr">
        <is>
          <t>Management</t>
        </is>
      </c>
      <c r="C63" s="14" t="n"/>
      <c r="D63" s="14" t="n"/>
      <c r="E63" s="15" t="n"/>
      <c r="F63" s="16" t="inlineStr">
        <is>
          <t>Guide: Qualitative</t>
        </is>
      </c>
    </row>
    <row r="64">
      <c r="A64" s="13" t="inlineStr">
        <is>
          <t>Recent manager changes</t>
        </is>
      </c>
      <c r="B64" s="13" t="inlineStr">
        <is>
          <t>Management</t>
        </is>
      </c>
      <c r="C64" s="14" t="n"/>
      <c r="D64" s="14" t="n"/>
      <c r="E64" s="15" t="n"/>
      <c r="F64" s="16" t="inlineStr">
        <is>
          <t>Guide: Date of last change</t>
        </is>
      </c>
    </row>
    <row r="65">
      <c r="A65" s="8" t="inlineStr">
        <is>
          <t>CONSISTENCY</t>
        </is>
      </c>
      <c r="B65" s="9" t="n"/>
      <c r="C65" s="9" t="n"/>
      <c r="D65" s="9" t="n"/>
      <c r="E65" s="9" t="n"/>
      <c r="F65" s="10" t="n"/>
    </row>
    <row r="66">
      <c r="A66" s="13" t="inlineStr">
        <is>
          <t>Batting average vs benchmark</t>
        </is>
      </c>
      <c r="B66" s="13" t="inlineStr">
        <is>
          <t>Consistency</t>
        </is>
      </c>
      <c r="C66" s="14" t="n"/>
      <c r="D66" s="14" t="n"/>
      <c r="E66" s="15" t="n"/>
      <c r="F66" s="16" t="inlineStr">
        <is>
          <t>Guide: % of periods won</t>
        </is>
      </c>
    </row>
    <row r="67">
      <c r="A67" s="13" t="inlineStr">
        <is>
          <t>Quartile ranking stability</t>
        </is>
      </c>
      <c r="B67" s="13" t="inlineStr">
        <is>
          <t>Consistency</t>
        </is>
      </c>
      <c r="C67" s="14" t="n"/>
      <c r="D67" s="14" t="n"/>
      <c r="E67" s="15" t="n"/>
      <c r="F67" s="16" t="inlineStr">
        <is>
          <t>Guide: Count quartile per year</t>
        </is>
      </c>
    </row>
    <row r="68">
      <c r="A68" s="8" t="inlineStr">
        <is>
          <t>DEBT-SPECIFIC</t>
        </is>
      </c>
      <c r="B68" s="9" t="n"/>
      <c r="C68" s="9" t="n"/>
      <c r="D68" s="9" t="n"/>
      <c r="E68" s="9" t="n"/>
      <c r="F68" s="10" t="n"/>
    </row>
    <row r="69">
      <c r="A69" s="13" t="inlineStr">
        <is>
          <t>Credit quality ladder</t>
        </is>
      </c>
      <c r="B69" s="13" t="inlineStr">
        <is>
          <t>Debt-specific</t>
        </is>
      </c>
      <c r="C69" s="14" t="n"/>
      <c r="D69" s="14" t="n"/>
      <c r="E69" s="15" t="n"/>
      <c r="F69" s="16" t="inlineStr">
        <is>
          <t>Guide: Note % below AAA</t>
        </is>
      </c>
    </row>
    <row r="70">
      <c r="A70" s="13" t="inlineStr">
        <is>
          <t>Potential Risk Class (PRC)</t>
        </is>
      </c>
      <c r="B70" s="13" t="inlineStr">
        <is>
          <t>Debt-specific</t>
        </is>
      </c>
      <c r="C70" s="14" t="n"/>
      <c r="D70" s="14" t="n"/>
      <c r="E70" s="15" t="n"/>
      <c r="F70" s="16" t="inlineStr">
        <is>
          <t>Guide: e.g. A-I, B-II</t>
        </is>
      </c>
    </row>
    <row r="71">
      <c r="A71" s="13" t="inlineStr">
        <is>
          <t>Issuer concentration</t>
        </is>
      </c>
      <c r="B71" s="13" t="inlineStr">
        <is>
          <t>Debt-specific</t>
        </is>
      </c>
      <c r="C71" s="14" t="n"/>
      <c r="D71" s="14" t="n"/>
      <c r="E71" s="15" t="n"/>
      <c r="F71" s="16" t="inlineStr">
        <is>
          <t>Guide: Largest issuer %</t>
        </is>
      </c>
    </row>
    <row r="72">
      <c r="A72" s="13" t="inlineStr">
        <is>
          <t>Average maturity</t>
        </is>
      </c>
      <c r="B72" s="13" t="inlineStr">
        <is>
          <t>Debt-specific</t>
        </is>
      </c>
      <c r="C72" s="14" t="n"/>
      <c r="D72" s="14" t="n"/>
      <c r="E72" s="15" t="n"/>
      <c r="F72" s="16" t="inlineStr">
        <is>
          <t>Guide: Years</t>
        </is>
      </c>
    </row>
    <row r="73">
      <c r="A73" s="13" t="inlineStr">
        <is>
          <t>Modified duration</t>
        </is>
      </c>
      <c r="B73" s="13" t="inlineStr">
        <is>
          <t>Debt-specific</t>
        </is>
      </c>
      <c r="C73" s="14" t="n"/>
      <c r="D73" s="14" t="n"/>
      <c r="E73" s="15" t="n"/>
      <c r="F73" s="16" t="inlineStr">
        <is>
          <t>Guide: Years</t>
        </is>
      </c>
    </row>
    <row r="74">
      <c r="A74" s="13" t="inlineStr">
        <is>
          <t>Yield to maturity (YTM)</t>
        </is>
      </c>
      <c r="B74" s="13" t="inlineStr">
        <is>
          <t>Debt-specific</t>
        </is>
      </c>
      <c r="C74" s="14" t="n"/>
      <c r="D74" s="14" t="n"/>
      <c r="E74" s="15" t="n"/>
      <c r="F74" s="16" t="inlineStr">
        <is>
          <t>Guide: Compare YTM minus TER</t>
        </is>
      </c>
    </row>
    <row r="75">
      <c r="A75" s="13" t="inlineStr">
        <is>
          <t>Downgraded or defaulted papers</t>
        </is>
      </c>
      <c r="B75" s="13" t="inlineStr">
        <is>
          <t>Debt-specific</t>
        </is>
      </c>
      <c r="C75" s="14" t="n"/>
      <c r="D75" s="14" t="n"/>
      <c r="E75" s="15" t="n"/>
      <c r="F75" s="16" t="inlineStr">
        <is>
          <t>Guide: History of side pockets</t>
        </is>
      </c>
    </row>
    <row r="76">
      <c r="A76" s="8" t="inlineStr">
        <is>
          <t>TAX AND LIQUIDITY</t>
        </is>
      </c>
      <c r="B76" s="9" t="n"/>
      <c r="C76" s="9" t="n"/>
      <c r="D76" s="9" t="n"/>
      <c r="E76" s="9" t="n"/>
      <c r="F76" s="10" t="n"/>
    </row>
    <row r="77">
      <c r="A77" s="13" t="inlineStr">
        <is>
          <t>Tax classification</t>
        </is>
      </c>
      <c r="B77" s="13" t="inlineStr">
        <is>
          <t>Tax and liquidity</t>
        </is>
      </c>
      <c r="C77" s="14" t="n"/>
      <c r="D77" s="14" t="n"/>
      <c r="E77" s="15" t="n"/>
      <c r="F77" s="16" t="inlineStr">
        <is>
          <t>Guide: Equity / specified / other</t>
        </is>
      </c>
    </row>
    <row r="78">
      <c r="A78" s="13" t="inlineStr">
        <is>
          <t>Capital gains rates</t>
        </is>
      </c>
      <c r="B78" s="13" t="inlineStr">
        <is>
          <t>Tax and liquidity</t>
        </is>
      </c>
      <c r="C78" s="14" t="n"/>
      <c r="D78" s="14" t="n"/>
      <c r="E78" s="15" t="n"/>
      <c r="F78" s="16" t="inlineStr">
        <is>
          <t>Guide: Plus cess and surcharge as applicable</t>
        </is>
      </c>
    </row>
    <row r="79">
      <c r="A79" s="13" t="inlineStr">
        <is>
          <t>IDCW taxation</t>
        </is>
      </c>
      <c r="B79" s="13" t="inlineStr">
        <is>
          <t>Tax and liquidity</t>
        </is>
      </c>
      <c r="C79" s="14" t="n"/>
      <c r="D79" s="14" t="n"/>
      <c r="E79" s="15" t="n"/>
      <c r="F79" s="16" t="inlineStr">
        <is>
          <t>Guide: Growth usually more tax efficient</t>
        </is>
      </c>
    </row>
    <row r="80">
      <c r="A80" s="13" t="inlineStr">
        <is>
          <t>ELSS deduction</t>
        </is>
      </c>
      <c r="B80" s="13" t="inlineStr">
        <is>
          <t>Tax and liquidity</t>
        </is>
      </c>
      <c r="C80" s="14" t="n"/>
      <c r="D80" s="14" t="n"/>
      <c r="E80" s="15" t="n"/>
      <c r="F80" s="16" t="inlineStr">
        <is>
          <t>Guide: Old regime only</t>
        </is>
      </c>
    </row>
    <row r="81">
      <c r="A81" s="13" t="inlineStr">
        <is>
          <t>Redemption timeline</t>
        </is>
      </c>
      <c r="B81" s="13" t="inlineStr">
        <is>
          <t>Tax and liquidity</t>
        </is>
      </c>
      <c r="C81" s="14" t="n"/>
      <c r="D81" s="14" t="n"/>
      <c r="E81" s="15" t="n"/>
      <c r="F81" s="16" t="inlineStr">
        <is>
          <t>Guide: Days</t>
        </is>
      </c>
    </row>
    <row r="82">
      <c r="A82" s="13" t="inlineStr">
        <is>
          <t>Underlying portfolio liquidity</t>
        </is>
      </c>
      <c r="B82" s="13" t="inlineStr">
        <is>
          <t>Tax and liquidity</t>
        </is>
      </c>
      <c r="C82" s="14" t="n"/>
      <c r="D82" s="14" t="n"/>
      <c r="E82" s="15" t="n"/>
      <c r="F82" s="16" t="inlineStr">
        <is>
          <t>Guide: Days to liquidate 50%</t>
        </is>
      </c>
    </row>
  </sheetData>
  <autoFilter ref="A5:F82"/>
  <mergeCells count="11">
    <mergeCell ref="A52:F52"/>
    <mergeCell ref="A76:F76"/>
    <mergeCell ref="A68:F68"/>
    <mergeCell ref="A14:F14"/>
    <mergeCell ref="A6:F6"/>
    <mergeCell ref="A3:F3"/>
    <mergeCell ref="A21:F21"/>
    <mergeCell ref="A29:F29"/>
    <mergeCell ref="A59:F59"/>
    <mergeCell ref="A65:F65"/>
    <mergeCell ref="A43:F43"/>
  </mergeCells>
  <conditionalFormatting sqref="E6:E82">
    <cfRule type="cellIs" priority="1" operator="equal" dxfId="0">
      <formula>"Pass"</formula>
    </cfRule>
    <cfRule type="cellIs" priority="2" operator="equal" dxfId="1">
      <formula>"Watch"</formula>
    </cfRule>
    <cfRule type="cellIs" priority="3" operator="equal" dxfId="2">
      <formula>"Fail"</formula>
    </cfRule>
  </conditionalFormatting>
  <dataValidations count="1">
    <dataValidation sqref="E7 E8 E9 E10 E11 E12 E13 E15 E16 E17 E18 E19 E20 E22 E23 E24 E25 E26 E27 E28 E30 E31 E32 E33 E34 E35 E36 E37 E38 E39 E40 E41 E42 E44 E45 E46 E47 E48 E49 E50 E51 E53 E54 E55 E56 E57 E58 E60 E61 E62 E63 E64 E66 E67 E69 E70 E71 E72 E73 E74 E75 E77 E78 E79 E80 E81 E82" showDropDown="0" showInputMessage="1" showErrorMessage="1" allowBlank="1" errorTitle="Verdict" error="Choose Pass, Watch or Fail." promptTitle="Verdict" prompt="Pass / Watch / Fail" type="list">
      <formula1>"Pass,Watch,Fail"</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4"/>
  <sheetViews>
    <sheetView showGridLines="0" workbookViewId="0">
      <pane ySplit="4" topLeftCell="A5" activePane="bottomLeft" state="frozen"/>
      <selection pane="bottomLeft" activeCell="A1" sqref="A1"/>
    </sheetView>
  </sheetViews>
  <sheetFormatPr baseColWidth="8" defaultRowHeight="15"/>
  <cols>
    <col width="45" customWidth="1" min="1" max="1"/>
    <col width="45" customWidth="1" min="2" max="2"/>
    <col width="43.8" customWidth="1" min="3" max="3"/>
    <col width="35" customWidth="1" min="4" max="4"/>
    <col width="45" customWidth="1" min="5" max="5"/>
    <col width="45" customWidth="1" min="6" max="6"/>
  </cols>
  <sheetData>
    <row r="1">
      <c r="A1" s="1" t="inlineStr">
        <is>
          <t>Category to Benchmark (TRI) Map</t>
        </is>
      </c>
    </row>
    <row r="2" ht="30" customHeight="1">
      <c r="A2" s="6" t="inlineStr">
        <is>
          <t>All benchmarks must be Total Return Index (TRI) variants (SEBI circular SEBI/HO/IMD/DF3/CIR/P/2018/04, effective 1 Feb 2018). Tier 1 = category benchmark from the AMFI list (SEBI circular of 27 Oct 2021). Category mandates per SEBI circular of 26 Feb 2026.</t>
        </is>
      </c>
    </row>
    <row r="3"/>
    <row r="4">
      <c r="A4" s="7" t="inlineStr">
        <is>
          <t>Category</t>
        </is>
      </c>
      <c r="B4" s="7" t="inlineStr">
        <is>
          <t>SEBI mandate (summary)</t>
        </is>
      </c>
      <c r="C4" s="7" t="inlineStr">
        <is>
          <t>Tier 1 benchmark (NSE)</t>
        </is>
      </c>
      <c r="D4" s="7" t="inlineStr">
        <is>
          <t>Tier 1 alternative (BSE)</t>
        </is>
      </c>
      <c r="E4" s="7" t="inlineStr">
        <is>
          <t>Notes</t>
        </is>
      </c>
      <c r="F4" s="7" t="inlineStr">
        <is>
          <t>Source</t>
        </is>
      </c>
    </row>
    <row r="5">
      <c r="A5" s="8" t="inlineStr">
        <is>
          <t>EQUITY</t>
        </is>
      </c>
      <c r="B5" s="9" t="n"/>
      <c r="C5" s="9" t="n"/>
      <c r="D5" s="9" t="n"/>
      <c r="E5" s="9" t="n"/>
      <c r="F5" s="10" t="n"/>
    </row>
    <row r="6">
      <c r="A6" s="22" t="inlineStr">
        <is>
          <t>Large Cap</t>
        </is>
      </c>
      <c r="B6" s="13" t="inlineStr">
        <is>
          <t>Min 80% in large caps (top 100)</t>
        </is>
      </c>
      <c r="C6" s="22" t="inlineStr">
        <is>
          <t>Nifty 100 TRI</t>
        </is>
      </c>
      <c r="D6" s="13" t="inlineStr">
        <is>
          <t>BSE 100 TRI</t>
        </is>
      </c>
      <c r="E6" s="13" t="inlineStr">
        <is>
          <t>Nifty 50 TRI is narrower. Tier 1 uses the top 100 to match the category definition.</t>
        </is>
      </c>
      <c r="F6" s="13" t="inlineStr">
        <is>
          <t>AMFI Tier 1 list; SEBI 26 Feb 2026 circular</t>
        </is>
      </c>
    </row>
    <row r="7">
      <c r="A7" s="22" t="inlineStr">
        <is>
          <t>Large &amp; Mid Cap</t>
        </is>
      </c>
      <c r="B7" s="13" t="inlineStr">
        <is>
          <t>Min 35% each in large and mid caps</t>
        </is>
      </c>
      <c r="C7" s="22" t="inlineStr">
        <is>
          <t>Nifty LargeMidcap 250 TRI</t>
        </is>
      </c>
      <c r="D7" s="13" t="inlineStr">
        <is>
          <t>BSE 250 LargeMidCap TRI</t>
        </is>
      </c>
      <c r="E7" s="13" t="inlineStr">
        <is>
          <t>Index holds 50% Nifty 100 and 50% Nifty Midcap 150, rebalanced quarterly.</t>
        </is>
      </c>
      <c r="F7" s="13" t="inlineStr">
        <is>
          <t>AMFI Tier 1 list; SEBI 26 Feb 2026 circular</t>
        </is>
      </c>
    </row>
    <row r="8">
      <c r="A8" s="22" t="inlineStr">
        <is>
          <t>Mid Cap</t>
        </is>
      </c>
      <c r="B8" s="13" t="inlineStr">
        <is>
          <t>Min 65% in mid caps (101st to 250th)</t>
        </is>
      </c>
      <c r="C8" s="22" t="inlineStr">
        <is>
          <t>Nifty Midcap 150 TRI</t>
        </is>
      </c>
      <c r="D8" s="13" t="inlineStr">
        <is>
          <t>BSE 150 MidCap TRI</t>
        </is>
      </c>
      <c r="E8" s="13" t="inlineStr">
        <is>
          <t>Check small cap spill-over in the remaining 35%.</t>
        </is>
      </c>
      <c r="F8" s="13" t="inlineStr">
        <is>
          <t>AMFI Tier 1 list; SEBI 26 Feb 2026 circular</t>
        </is>
      </c>
    </row>
    <row r="9">
      <c r="A9" s="22" t="inlineStr">
        <is>
          <t>Small Cap</t>
        </is>
      </c>
      <c r="B9" s="13" t="inlineStr">
        <is>
          <t>Min 65% in small caps (251st onwards)</t>
        </is>
      </c>
      <c r="C9" s="22" t="inlineStr">
        <is>
          <t>Nifty Smallcap 250 TRI</t>
        </is>
      </c>
      <c r="D9" s="13" t="inlineStr">
        <is>
          <t>BSE 250 SmallCap TRI</t>
        </is>
      </c>
      <c r="E9" s="13" t="inlineStr">
        <is>
          <t>Also read the AMFI stress test disclosure.</t>
        </is>
      </c>
      <c r="F9" s="13" t="inlineStr">
        <is>
          <t>AMFI Tier 1 list; SEBI 26 Feb 2026 circular</t>
        </is>
      </c>
    </row>
    <row r="10">
      <c r="A10" s="22" t="inlineStr">
        <is>
          <t>Flexi Cap</t>
        </is>
      </c>
      <c r="B10" s="13" t="inlineStr">
        <is>
          <t>Min 65% in equity, no fixed market cap split</t>
        </is>
      </c>
      <c r="C10" s="22" t="inlineStr">
        <is>
          <t>Nifty 500 TRI</t>
        </is>
      </c>
      <c r="D10" s="13" t="inlineStr">
        <is>
          <t>BSE 500 TRI</t>
        </is>
      </c>
      <c r="E10" s="13" t="inlineStr">
        <is>
          <t>Free market cap mix makes style drift checks essential.</t>
        </is>
      </c>
      <c r="F10" s="13" t="inlineStr">
        <is>
          <t>AMFI Tier 1 list; SEBI 26 Feb 2026 circular</t>
        </is>
      </c>
    </row>
    <row r="11">
      <c r="A11" s="22" t="inlineStr">
        <is>
          <t>Multi Cap</t>
        </is>
      </c>
      <c r="B11" s="13" t="inlineStr">
        <is>
          <t>Min 25% each in large, mid and small caps (so at least 75% in equity)</t>
        </is>
      </c>
      <c r="C11" s="22" t="inlineStr">
        <is>
          <t>Nifty500 Multicap 50:25:25 TRI</t>
        </is>
      </c>
      <c r="D11" s="13" t="inlineStr">
        <is>
          <t>Check SID</t>
        </is>
      </c>
      <c r="E11" s="13" t="inlineStr">
        <is>
          <t>Index weights: 50% large, 25% mid, 25% small.</t>
        </is>
      </c>
      <c r="F11" s="13" t="inlineStr">
        <is>
          <t>AMFI Tier 1 list; SEBI 26 Feb 2026 circular</t>
        </is>
      </c>
    </row>
    <row r="12">
      <c r="A12" s="22" t="inlineStr">
        <is>
          <t>ELSS Tax Saver</t>
        </is>
      </c>
      <c r="B12" s="13" t="inlineStr">
        <is>
          <t>Min 80% in equity, 3-year lock-in</t>
        </is>
      </c>
      <c r="C12" s="22" t="inlineStr">
        <is>
          <t>Nifty 500 TRI</t>
        </is>
      </c>
      <c r="D12" s="13" t="inlineStr">
        <is>
          <t>BSE 500 TRI</t>
        </is>
      </c>
      <c r="E12" s="13" t="inlineStr">
        <is>
          <t>Renamed ELSS Tax Saver Fund in the 2026 framework.</t>
        </is>
      </c>
      <c r="F12" s="13" t="inlineStr">
        <is>
          <t>AMFI Tier 1 list; SEBI 26 Feb 2026 circular</t>
        </is>
      </c>
    </row>
    <row r="13">
      <c r="A13" s="8" t="inlineStr">
        <is>
          <t>PASSIVE</t>
        </is>
      </c>
      <c r="B13" s="9" t="n"/>
      <c r="C13" s="9" t="n"/>
      <c r="D13" s="9" t="n"/>
      <c r="E13" s="9" t="n"/>
      <c r="F13" s="10" t="n"/>
    </row>
    <row r="14">
      <c r="A14" s="22" t="inlineStr">
        <is>
          <t>Index funds and ETFs</t>
        </is>
      </c>
      <c r="B14" s="13" t="inlineStr">
        <is>
          <t>Replicate the stated index</t>
        </is>
      </c>
      <c r="C14" s="22" t="inlineStr">
        <is>
          <t>TRI of the index tracked</t>
        </is>
      </c>
      <c r="D14" s="13" t="inlineStr">
        <is>
          <t>Same as tracked index</t>
        </is>
      </c>
      <c r="E14" s="13" t="inlineStr">
        <is>
          <t>Judge on tracking error (max 2% for equity, one-year rolling) and tracking difference.</t>
        </is>
      </c>
      <c r="F14" s="13" t="inlineStr">
        <is>
          <t>SEBI circular 23 May 2022 (Development of Passive Funds)</t>
        </is>
      </c>
    </row>
    <row r="15">
      <c r="A15" s="8" t="inlineStr">
        <is>
          <t>DEBT (Tier 1 index depends on the scheme's PRC cell; confirm in SID)</t>
        </is>
      </c>
      <c r="B15" s="9" t="n"/>
      <c r="C15" s="9" t="n"/>
      <c r="D15" s="9" t="n"/>
      <c r="E15" s="9" t="n"/>
      <c r="F15" s="10" t="n"/>
    </row>
    <row r="16">
      <c r="A16" s="22" t="inlineStr">
        <is>
          <t>Overnight (debt)</t>
        </is>
      </c>
      <c r="B16" s="13" t="inlineStr">
        <is>
          <t>Overnight securities, 1-day maturity</t>
        </is>
      </c>
      <c r="C16" s="22" t="inlineStr">
        <is>
          <t>CRISIL Liquid Overnight Index</t>
        </is>
      </c>
      <c r="D16" s="13" t="inlineStr">
        <is>
          <t>NIFTY 1D Rate Index</t>
        </is>
      </c>
      <c r="E16" s="13" t="inlineStr">
        <is>
          <t>Typical choice; confirm in SID.</t>
        </is>
      </c>
      <c r="F16" s="13" t="inlineStr">
        <is>
          <t>AMFI Tier 1 list by PRC matrix; scheme SIDs</t>
        </is>
      </c>
    </row>
    <row r="17">
      <c r="A17" s="22" t="inlineStr">
        <is>
          <t>Liquid (debt)</t>
        </is>
      </c>
      <c r="B17" s="13" t="inlineStr">
        <is>
          <t>Debt and money market up to 91 days</t>
        </is>
      </c>
      <c r="C17" s="22" t="inlineStr">
        <is>
          <t>CRISIL Liquid Debt A-I Index</t>
        </is>
      </c>
      <c r="D17" s="13" t="inlineStr">
        <is>
          <t>NIFTY equivalent per AMFI list</t>
        </is>
      </c>
      <c r="E17" s="13" t="inlineStr">
        <is>
          <t>Example: DSP Liquidity Fund uses CRISIL Liquid Debt A-I.</t>
        </is>
      </c>
      <c r="F17" s="13" t="inlineStr">
        <is>
          <t>AMFI Tier 1 list by PRC matrix; scheme SIDs</t>
        </is>
      </c>
    </row>
    <row r="18">
      <c r="A18" s="22" t="inlineStr">
        <is>
          <t>Short Duration (debt)</t>
        </is>
      </c>
      <c r="B18" s="13" t="inlineStr">
        <is>
          <t>Macaulay duration 1 to 3 years</t>
        </is>
      </c>
      <c r="C18" s="22" t="inlineStr">
        <is>
          <t>CRISIL Short Duration Debt A-II Index</t>
        </is>
      </c>
      <c r="D18" s="13" t="inlineStr">
        <is>
          <t>NIFTY equivalent per AMFI list</t>
        </is>
      </c>
      <c r="E18" s="13" t="inlineStr">
        <is>
          <t>Typical choice; index depends on PRC cell.</t>
        </is>
      </c>
      <c r="F18" s="13" t="inlineStr">
        <is>
          <t>AMFI Tier 1 list by PRC matrix; scheme SIDs</t>
        </is>
      </c>
    </row>
    <row r="19">
      <c r="A19" s="22" t="inlineStr">
        <is>
          <t>Corporate Bond (debt)</t>
        </is>
      </c>
      <c r="B19" s="13" t="inlineStr">
        <is>
          <t>Min 80% in AA+ and above corporate bonds</t>
        </is>
      </c>
      <c r="C19" s="22" t="inlineStr">
        <is>
          <t>CRISIL Corporate Debt A-II Index</t>
        </is>
      </c>
      <c r="D19" s="13" t="inlineStr">
        <is>
          <t>NIFTY equivalent per AMFI list</t>
        </is>
      </c>
      <c r="E19" s="13" t="inlineStr">
        <is>
          <t>Commonly used AMFI Tier 1 choice.</t>
        </is>
      </c>
      <c r="F19" s="13" t="inlineStr">
        <is>
          <t>AMFI Tier 1 list by PRC matrix; scheme SIDs</t>
        </is>
      </c>
    </row>
    <row r="20">
      <c r="A20" s="22" t="inlineStr">
        <is>
          <t>Banking &amp; PSU (debt)</t>
        </is>
      </c>
      <c r="B20" s="13" t="inlineStr">
        <is>
          <t>Min 80% in banks, PSUs, PFIs, municipal bonds</t>
        </is>
      </c>
      <c r="C20" s="22" t="inlineStr">
        <is>
          <t>CRISIL Banking and PSU Debt A-II Index</t>
        </is>
      </c>
      <c r="D20" s="13" t="inlineStr">
        <is>
          <t>NIFTY equivalent per AMFI list</t>
        </is>
      </c>
      <c r="E20" s="13" t="inlineStr">
        <is>
          <t>Typical choice; confirm in SID.</t>
        </is>
      </c>
      <c r="F20" s="13" t="inlineStr">
        <is>
          <t>AMFI Tier 1 list by PRC matrix; scheme SIDs</t>
        </is>
      </c>
    </row>
    <row r="21">
      <c r="A21" s="22" t="inlineStr">
        <is>
          <t>Credit Risk (debt)</t>
        </is>
      </c>
      <c r="B21" s="13" t="inlineStr">
        <is>
          <t>Min 65% in AA and below corporate bonds</t>
        </is>
      </c>
      <c r="C21" s="22" t="inlineStr">
        <is>
          <t>CRISIL Credit Risk Debt B-II Index</t>
        </is>
      </c>
      <c r="D21" s="13" t="inlineStr">
        <is>
          <t>NIFTY equivalent per AMFI list</t>
        </is>
      </c>
      <c r="E21" s="13" t="inlineStr">
        <is>
          <t>Commonly used AMFI Tier 1 choice.</t>
        </is>
      </c>
      <c r="F21" s="13" t="inlineStr">
        <is>
          <t>AMFI Tier 1 list by PRC matrix; scheme SIDs</t>
        </is>
      </c>
    </row>
    <row r="22">
      <c r="A22" s="22" t="inlineStr">
        <is>
          <t>Gilt (debt)</t>
        </is>
      </c>
      <c r="B22" s="13" t="inlineStr">
        <is>
          <t>Min 80% in government securities</t>
        </is>
      </c>
      <c r="C22" s="22" t="inlineStr">
        <is>
          <t>CRISIL Dynamic Gilt Index</t>
        </is>
      </c>
      <c r="D22" s="13" t="inlineStr">
        <is>
          <t>NIFTY equivalent per AMFI list</t>
        </is>
      </c>
      <c r="E22" s="13" t="inlineStr">
        <is>
          <t>Typical choice; confirm in SID.</t>
        </is>
      </c>
      <c r="F22" s="13" t="inlineStr">
        <is>
          <t>AMFI Tier 1 list by PRC matrix; scheme SIDs</t>
        </is>
      </c>
    </row>
    <row r="23"/>
    <row r="24">
      <c r="A24" s="21" t="inlineStr">
        <is>
          <t>BSE indices dropped the "S&amp;P" prefix in 2024; older documents may show "S&amp;P BSE". Full sources are listed in mutual-fund-review-guide.docx.</t>
        </is>
      </c>
    </row>
  </sheetData>
  <mergeCells count="4">
    <mergeCell ref="A13:F13"/>
    <mergeCell ref="A2:F2"/>
    <mergeCell ref="A5:F5"/>
    <mergeCell ref="A15:F15"/>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G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7.1" customWidth="1" min="1" max="1"/>
    <col width="11" customWidth="1" min="2" max="2"/>
    <col width="20" customWidth="1" min="3" max="3"/>
    <col width="20" customWidth="1" min="4" max="4"/>
    <col width="20" customWidth="1" min="5" max="5"/>
    <col width="20" customWidth="1" min="6" max="6"/>
    <col width="14" customWidth="1" min="7" max="7"/>
  </cols>
  <sheetData>
    <row r="1">
      <c r="A1" s="1" t="inlineStr">
        <is>
          <t>Fund Comparison (up to 4 funds)</t>
        </is>
      </c>
    </row>
    <row r="2" ht="30" customHeight="1">
      <c r="A2" s="6" t="inlineStr">
        <is>
          <t>Fill the yellow cells (blue text). Enter percentages as percentages (e.g. 12.5%). Enter maximum drawdown as a positive fall (e.g. 35%). "Best" picks the strongest fund on each numeric row using the "Better is" direction; it stays blank until at least one value is entered.</t>
        </is>
      </c>
    </row>
    <row r="3"/>
    <row r="4">
      <c r="A4" s="7" t="inlineStr">
        <is>
          <t>Metric</t>
        </is>
      </c>
      <c r="B4" s="7" t="inlineStr">
        <is>
          <t>Better is</t>
        </is>
      </c>
      <c r="C4" s="7" t="inlineStr">
        <is>
          <t>Fund 1</t>
        </is>
      </c>
      <c r="D4" s="7" t="inlineStr">
        <is>
          <t>Fund 2</t>
        </is>
      </c>
      <c r="E4" s="7" t="inlineStr">
        <is>
          <t>Fund 3</t>
        </is>
      </c>
      <c r="F4" s="7" t="inlineStr">
        <is>
          <t>Fund 4</t>
        </is>
      </c>
      <c r="G4" s="7" t="inlineStr">
        <is>
          <t>Best</t>
        </is>
      </c>
    </row>
    <row r="5">
      <c r="A5" s="8" t="inlineStr">
        <is>
          <t>IDENTITY</t>
        </is>
      </c>
      <c r="B5" s="9" t="n"/>
      <c r="C5" s="9" t="n"/>
      <c r="D5" s="9" t="n"/>
      <c r="E5" s="9" t="n"/>
      <c r="F5" s="9" t="n"/>
      <c r="G5" s="10" t="n"/>
    </row>
    <row r="6">
      <c r="A6" s="11" t="inlineStr">
        <is>
          <t>Fund name</t>
        </is>
      </c>
      <c r="B6" s="12" t="inlineStr">
        <is>
          <t>n/a</t>
        </is>
      </c>
      <c r="C6" s="23" t="n"/>
      <c r="D6" s="23" t="n"/>
      <c r="E6" s="23" t="n"/>
      <c r="F6" s="23" t="n"/>
      <c r="G6" s="24" t="n"/>
    </row>
    <row r="7">
      <c r="A7" s="11" t="inlineStr">
        <is>
          <t>AMC</t>
        </is>
      </c>
      <c r="B7" s="12" t="inlineStr">
        <is>
          <t>n/a</t>
        </is>
      </c>
      <c r="C7" s="23" t="n"/>
      <c r="D7" s="23" t="n"/>
      <c r="E7" s="23" t="n"/>
      <c r="F7" s="23" t="n"/>
      <c r="G7" s="24" t="n"/>
    </row>
    <row r="8">
      <c r="A8" s="11" t="inlineStr">
        <is>
          <t>SEBI category</t>
        </is>
      </c>
      <c r="B8" s="12" t="inlineStr">
        <is>
          <t>n/a</t>
        </is>
      </c>
      <c r="C8" s="23" t="n"/>
      <c r="D8" s="23" t="n"/>
      <c r="E8" s="23" t="n"/>
      <c r="F8" s="23" t="n"/>
      <c r="G8" s="24" t="n"/>
    </row>
    <row r="9">
      <c r="A9" s="11" t="inlineStr">
        <is>
          <t>Plan / option</t>
        </is>
      </c>
      <c r="B9" s="12" t="inlineStr">
        <is>
          <t>n/a</t>
        </is>
      </c>
      <c r="C9" s="23" t="n"/>
      <c r="D9" s="23" t="n"/>
      <c r="E9" s="23" t="n"/>
      <c r="F9" s="23" t="n"/>
      <c r="G9" s="24" t="n"/>
    </row>
    <row r="10">
      <c r="A10" s="11" t="inlineStr">
        <is>
          <t>Tier 1 benchmark (TRI)</t>
        </is>
      </c>
      <c r="B10" s="12" t="inlineStr">
        <is>
          <t>n/a</t>
        </is>
      </c>
      <c r="C10" s="23" t="n"/>
      <c r="D10" s="23" t="n"/>
      <c r="E10" s="23" t="n"/>
      <c r="F10" s="23" t="n"/>
      <c r="G10" s="24" t="n"/>
    </row>
    <row r="11">
      <c r="A11" s="11" t="inlineStr">
        <is>
          <t>Riskometer level</t>
        </is>
      </c>
      <c r="B11" s="12" t="inlineStr">
        <is>
          <t>n/a</t>
        </is>
      </c>
      <c r="C11" s="23" t="n"/>
      <c r="D11" s="23" t="n"/>
      <c r="E11" s="23" t="n"/>
      <c r="F11" s="23" t="n"/>
      <c r="G11" s="24" t="n"/>
    </row>
    <row r="12">
      <c r="A12" s="11" t="inlineStr">
        <is>
          <t>AUM (Rs crore)</t>
        </is>
      </c>
      <c r="B12" s="12" t="inlineStr">
        <is>
          <t>n/a</t>
        </is>
      </c>
      <c r="C12" s="25" t="n"/>
      <c r="D12" s="25" t="n"/>
      <c r="E12" s="25" t="n"/>
      <c r="F12" s="25" t="n"/>
      <c r="G12" s="24" t="n"/>
    </row>
    <row r="13">
      <c r="A13" s="8" t="inlineStr">
        <is>
          <t>COST</t>
        </is>
      </c>
      <c r="B13" s="9" t="n"/>
      <c r="C13" s="9" t="n"/>
      <c r="D13" s="9" t="n"/>
      <c r="E13" s="9" t="n"/>
      <c r="F13" s="9" t="n"/>
      <c r="G13" s="10" t="n"/>
    </row>
    <row r="14">
      <c r="A14" s="11" t="inlineStr">
        <is>
          <t>TER, direct plan</t>
        </is>
      </c>
      <c r="B14" s="12" t="inlineStr">
        <is>
          <t>Lower</t>
        </is>
      </c>
      <c r="C14" s="26" t="n"/>
      <c r="D14" s="26" t="n"/>
      <c r="E14" s="26" t="n"/>
      <c r="F14" s="26" t="n"/>
      <c r="G14" s="27">
        <f>IF(COUNT(C14:F14)=0,"",IF(INDEX($C$6:$F$6,MATCH(MIN(C14:F14),C14:F14,0))="",INDEX($C$4:$F$4,MATCH(MIN(C14:F14),C14:F14,0)),INDEX($C$6:$F$6,MATCH(MIN(C14:F14),C14:F14,0))))</f>
        <v/>
      </c>
    </row>
    <row r="15">
      <c r="A15" s="11" t="inlineStr">
        <is>
          <t>TER vs category average (difference)</t>
        </is>
      </c>
      <c r="B15" s="12" t="inlineStr">
        <is>
          <t>Lower</t>
        </is>
      </c>
      <c r="C15" s="26" t="n"/>
      <c r="D15" s="26" t="n"/>
      <c r="E15" s="26" t="n"/>
      <c r="F15" s="26" t="n"/>
      <c r="G15" s="27">
        <f>IF(COUNT(C15:F15)=0,"",IF(INDEX($C$6:$F$6,MATCH(MIN(C15:F15),C15:F15,0))="",INDEX($C$4:$F$4,MATCH(MIN(C15:F15),C15:F15,0)),INDEX($C$6:$F$6,MATCH(MIN(C15:F15),C15:F15,0))))</f>
        <v/>
      </c>
    </row>
    <row r="16">
      <c r="A16" s="11" t="inlineStr">
        <is>
          <t>Exit load</t>
        </is>
      </c>
      <c r="B16" s="12" t="inlineStr">
        <is>
          <t>n/a</t>
        </is>
      </c>
      <c r="C16" s="23" t="n"/>
      <c r="D16" s="23" t="n"/>
      <c r="E16" s="23" t="n"/>
      <c r="F16" s="23" t="n"/>
      <c r="G16" s="24" t="n"/>
    </row>
    <row r="17">
      <c r="A17" s="8" t="inlineStr">
        <is>
          <t>RETURNS</t>
        </is>
      </c>
      <c r="B17" s="9" t="n"/>
      <c r="C17" s="9" t="n"/>
      <c r="D17" s="9" t="n"/>
      <c r="E17" s="9" t="n"/>
      <c r="F17" s="9" t="n"/>
      <c r="G17" s="10" t="n"/>
    </row>
    <row r="18">
      <c r="A18" s="11" t="inlineStr">
        <is>
          <t>3Y CAGR</t>
        </is>
      </c>
      <c r="B18" s="12" t="inlineStr">
        <is>
          <t>Higher</t>
        </is>
      </c>
      <c r="C18" s="26" t="n"/>
      <c r="D18" s="26" t="n"/>
      <c r="E18" s="26" t="n"/>
      <c r="F18" s="26" t="n"/>
      <c r="G18" s="27">
        <f>IF(COUNT(C18:F18)=0,"",IF(INDEX($C$6:$F$6,MATCH(MAX(C18:F18),C18:F18,0))="",INDEX($C$4:$F$4,MATCH(MAX(C18:F18),C18:F18,0)),INDEX($C$6:$F$6,MATCH(MAX(C18:F18),C18:F18,0))))</f>
        <v/>
      </c>
    </row>
    <row r="19">
      <c r="A19" s="11" t="inlineStr">
        <is>
          <t>5Y CAGR</t>
        </is>
      </c>
      <c r="B19" s="12" t="inlineStr">
        <is>
          <t>Higher</t>
        </is>
      </c>
      <c r="C19" s="26" t="n"/>
      <c r="D19" s="26" t="n"/>
      <c r="E19" s="26" t="n"/>
      <c r="F19" s="26" t="n"/>
      <c r="G19" s="27">
        <f>IF(COUNT(C19:F19)=0,"",IF(INDEX($C$6:$F$6,MATCH(MAX(C19:F19),C19:F19,0))="",INDEX($C$4:$F$4,MATCH(MAX(C19:F19),C19:F19,0)),INDEX($C$6:$F$6,MATCH(MAX(C19:F19),C19:F19,0))))</f>
        <v/>
      </c>
    </row>
    <row r="20">
      <c r="A20" s="11" t="inlineStr">
        <is>
          <t>10Y CAGR</t>
        </is>
      </c>
      <c r="B20" s="12" t="inlineStr">
        <is>
          <t>Higher</t>
        </is>
      </c>
      <c r="C20" s="26" t="n"/>
      <c r="D20" s="26" t="n"/>
      <c r="E20" s="26" t="n"/>
      <c r="F20" s="26" t="n"/>
      <c r="G20" s="27">
        <f>IF(COUNT(C20:F20)=0,"",IF(INDEX($C$6:$F$6,MATCH(MAX(C20:F20),C20:F20,0))="",INDEX($C$4:$F$4,MATCH(MAX(C20:F20),C20:F20,0)),INDEX($C$6:$F$6,MATCH(MAX(C20:F20),C20:F20,0))))</f>
        <v/>
      </c>
    </row>
    <row r="21">
      <c r="A21" s="11" t="inlineStr">
        <is>
          <t>5Y excess return vs benchmark TRI</t>
        </is>
      </c>
      <c r="B21" s="12" t="inlineStr">
        <is>
          <t>Higher</t>
        </is>
      </c>
      <c r="C21" s="26" t="n"/>
      <c r="D21" s="26" t="n"/>
      <c r="E21" s="26" t="n"/>
      <c r="F21" s="26" t="n"/>
      <c r="G21" s="27">
        <f>IF(COUNT(C21:F21)=0,"",IF(INDEX($C$6:$F$6,MATCH(MAX(C21:F21),C21:F21,0))="",INDEX($C$4:$F$4,MATCH(MAX(C21:F21),C21:F21,0)),INDEX($C$6:$F$6,MATCH(MAX(C21:F21),C21:F21,0))))</f>
        <v/>
      </c>
    </row>
    <row r="22">
      <c r="A22" s="11" t="inlineStr">
        <is>
          <t>Average rolling 3Y return</t>
        </is>
      </c>
      <c r="B22" s="12" t="inlineStr">
        <is>
          <t>Higher</t>
        </is>
      </c>
      <c r="C22" s="26" t="n"/>
      <c r="D22" s="26" t="n"/>
      <c r="E22" s="26" t="n"/>
      <c r="F22" s="26" t="n"/>
      <c r="G22" s="27">
        <f>IF(COUNT(C22:F22)=0,"",IF(INDEX($C$6:$F$6,MATCH(MAX(C22:F22),C22:F22,0))="",INDEX($C$4:$F$4,MATCH(MAX(C22:F22),C22:F22,0)),INDEX($C$6:$F$6,MATCH(MAX(C22:F22),C22:F22,0))))</f>
        <v/>
      </c>
    </row>
    <row r="23">
      <c r="A23" s="11" t="inlineStr">
        <is>
          <t>% of rolling 3Y periods beating benchmark</t>
        </is>
      </c>
      <c r="B23" s="12" t="inlineStr">
        <is>
          <t>Higher</t>
        </is>
      </c>
      <c r="C23" s="26" t="n"/>
      <c r="D23" s="26" t="n"/>
      <c r="E23" s="26" t="n"/>
      <c r="F23" s="26" t="n"/>
      <c r="G23" s="27">
        <f>IF(COUNT(C23:F23)=0,"",IF(INDEX($C$6:$F$6,MATCH(MAX(C23:F23),C23:F23,0))="",INDEX($C$4:$F$4,MATCH(MAX(C23:F23),C23:F23,0)),INDEX($C$6:$F$6,MATCH(MAX(C23:F23),C23:F23,0))))</f>
        <v/>
      </c>
    </row>
    <row r="24">
      <c r="A24" s="11" t="inlineStr">
        <is>
          <t>5Y SIP XIRR</t>
        </is>
      </c>
      <c r="B24" s="12" t="inlineStr">
        <is>
          <t>Higher</t>
        </is>
      </c>
      <c r="C24" s="26" t="n"/>
      <c r="D24" s="26" t="n"/>
      <c r="E24" s="26" t="n"/>
      <c r="F24" s="26" t="n"/>
      <c r="G24" s="27">
        <f>IF(COUNT(C24:F24)=0,"",IF(INDEX($C$6:$F$6,MATCH(MAX(C24:F24),C24:F24,0))="",INDEX($C$4:$F$4,MATCH(MAX(C24:F24),C24:F24,0)),INDEX($C$6:$F$6,MATCH(MAX(C24:F24),C24:F24,0))))</f>
        <v/>
      </c>
    </row>
    <row r="25">
      <c r="A25" s="8" t="inlineStr">
        <is>
          <t>RISK</t>
        </is>
      </c>
      <c r="B25" s="9" t="n"/>
      <c r="C25" s="9" t="n"/>
      <c r="D25" s="9" t="n"/>
      <c r="E25" s="9" t="n"/>
      <c r="F25" s="9" t="n"/>
      <c r="G25" s="10" t="n"/>
    </row>
    <row r="26">
      <c r="A26" s="11" t="inlineStr">
        <is>
          <t>Standard deviation</t>
        </is>
      </c>
      <c r="B26" s="12" t="inlineStr">
        <is>
          <t>Lower</t>
        </is>
      </c>
      <c r="C26" s="26" t="n"/>
      <c r="D26" s="26" t="n"/>
      <c r="E26" s="26" t="n"/>
      <c r="F26" s="26" t="n"/>
      <c r="G26" s="27">
        <f>IF(COUNT(C26:F26)=0,"",IF(INDEX($C$6:$F$6,MATCH(MIN(C26:F26),C26:F26,0))="",INDEX($C$4:$F$4,MATCH(MIN(C26:F26),C26:F26,0)),INDEX($C$6:$F$6,MATCH(MIN(C26:F26),C26:F26,0))))</f>
        <v/>
      </c>
    </row>
    <row r="27">
      <c r="A27" s="11" t="inlineStr">
        <is>
          <t>Sharpe ratio</t>
        </is>
      </c>
      <c r="B27" s="12" t="inlineStr">
        <is>
          <t>Higher</t>
        </is>
      </c>
      <c r="C27" s="28" t="n"/>
      <c r="D27" s="28" t="n"/>
      <c r="E27" s="28" t="n"/>
      <c r="F27" s="28" t="n"/>
      <c r="G27" s="27">
        <f>IF(COUNT(C27:F27)=0,"",IF(INDEX($C$6:$F$6,MATCH(MAX(C27:F27),C27:F27,0))="",INDEX($C$4:$F$4,MATCH(MAX(C27:F27),C27:F27,0)),INDEX($C$6:$F$6,MATCH(MAX(C27:F27),C27:F27,0))))</f>
        <v/>
      </c>
    </row>
    <row r="28">
      <c r="A28" s="11" t="inlineStr">
        <is>
          <t>Sortino ratio</t>
        </is>
      </c>
      <c r="B28" s="12" t="inlineStr">
        <is>
          <t>Higher</t>
        </is>
      </c>
      <c r="C28" s="28" t="n"/>
      <c r="D28" s="28" t="n"/>
      <c r="E28" s="28" t="n"/>
      <c r="F28" s="28" t="n"/>
      <c r="G28" s="27">
        <f>IF(COUNT(C28:F28)=0,"",IF(INDEX($C$6:$F$6,MATCH(MAX(C28:F28),C28:F28,0))="",INDEX($C$4:$F$4,MATCH(MAX(C28:F28),C28:F28,0)),INDEX($C$6:$F$6,MATCH(MAX(C28:F28),C28:F28,0))))</f>
        <v/>
      </c>
    </row>
    <row r="29">
      <c r="A29" s="11" t="inlineStr">
        <is>
          <t>Beta</t>
        </is>
      </c>
      <c r="B29" s="12" t="inlineStr">
        <is>
          <t>Lower</t>
        </is>
      </c>
      <c r="C29" s="28" t="n"/>
      <c r="D29" s="28" t="n"/>
      <c r="E29" s="28" t="n"/>
      <c r="F29" s="28" t="n"/>
      <c r="G29" s="27">
        <f>IF(COUNT(C29:F29)=0,"",IF(INDEX($C$6:$F$6,MATCH(MIN(C29:F29),C29:F29,0))="",INDEX($C$4:$F$4,MATCH(MIN(C29:F29),C29:F29,0)),INDEX($C$6:$F$6,MATCH(MIN(C29:F29),C29:F29,0))))</f>
        <v/>
      </c>
    </row>
    <row r="30">
      <c r="A30" s="11" t="inlineStr">
        <is>
          <t>Alpha</t>
        </is>
      </c>
      <c r="B30" s="12" t="inlineStr">
        <is>
          <t>Higher</t>
        </is>
      </c>
      <c r="C30" s="26" t="n"/>
      <c r="D30" s="26" t="n"/>
      <c r="E30" s="26" t="n"/>
      <c r="F30" s="26" t="n"/>
      <c r="G30" s="27">
        <f>IF(COUNT(C30:F30)=0,"",IF(INDEX($C$6:$F$6,MATCH(MAX(C30:F30),C30:F30,0))="",INDEX($C$4:$F$4,MATCH(MAX(C30:F30),C30:F30,0)),INDEX($C$6:$F$6,MATCH(MAX(C30:F30),C30:F30,0))))</f>
        <v/>
      </c>
    </row>
    <row r="31">
      <c r="A31" s="11" t="inlineStr">
        <is>
          <t>Maximum drawdown (as positive fall)</t>
        </is>
      </c>
      <c r="B31" s="12" t="inlineStr">
        <is>
          <t>Lower</t>
        </is>
      </c>
      <c r="C31" s="26" t="n"/>
      <c r="D31" s="26" t="n"/>
      <c r="E31" s="26" t="n"/>
      <c r="F31" s="26" t="n"/>
      <c r="G31" s="27">
        <f>IF(COUNT(C31:F31)=0,"",IF(INDEX($C$6:$F$6,MATCH(MIN(C31:F31),C31:F31,0))="",INDEX($C$4:$F$4,MATCH(MIN(C31:F31),C31:F31,0)),INDEX($C$6:$F$6,MATCH(MIN(C31:F31),C31:F31,0))))</f>
        <v/>
      </c>
    </row>
    <row r="32">
      <c r="A32" s="11" t="inlineStr">
        <is>
          <t>Upside capture ratio</t>
        </is>
      </c>
      <c r="B32" s="12" t="inlineStr">
        <is>
          <t>Higher</t>
        </is>
      </c>
      <c r="C32" s="28" t="n"/>
      <c r="D32" s="28" t="n"/>
      <c r="E32" s="28" t="n"/>
      <c r="F32" s="28" t="n"/>
      <c r="G32" s="27">
        <f>IF(COUNT(C32:F32)=0,"",IF(INDEX($C$6:$F$6,MATCH(MAX(C32:F32),C32:F32,0))="",INDEX($C$4:$F$4,MATCH(MAX(C32:F32),C32:F32,0)),INDEX($C$6:$F$6,MATCH(MAX(C32:F32),C32:F32,0))))</f>
        <v/>
      </c>
    </row>
    <row r="33">
      <c r="A33" s="11" t="inlineStr">
        <is>
          <t>Downside capture ratio</t>
        </is>
      </c>
      <c r="B33" s="12" t="inlineStr">
        <is>
          <t>Lower</t>
        </is>
      </c>
      <c r="C33" s="28" t="n"/>
      <c r="D33" s="28" t="n"/>
      <c r="E33" s="28" t="n"/>
      <c r="F33" s="28" t="n"/>
      <c r="G33" s="27">
        <f>IF(COUNT(C33:F33)=0,"",IF(INDEX($C$6:$F$6,MATCH(MIN(C33:F33),C33:F33,0))="",INDEX($C$4:$F$4,MATCH(MIN(C33:F33),C33:F33,0)),INDEX($C$6:$F$6,MATCH(MIN(C33:F33),C33:F33,0))))</f>
        <v/>
      </c>
    </row>
    <row r="34">
      <c r="A34" s="11" t="inlineStr">
        <is>
          <t>R-squared</t>
        </is>
      </c>
      <c r="B34" s="12" t="inlineStr">
        <is>
          <t>Higher</t>
        </is>
      </c>
      <c r="C34" s="28" t="n"/>
      <c r="D34" s="28" t="n"/>
      <c r="E34" s="28" t="n"/>
      <c r="F34" s="28" t="n"/>
      <c r="G34" s="27">
        <f>IF(COUNT(C34:F34)=0,"",IF(INDEX($C$6:$F$6,MATCH(MAX(C34:F34),C34:F34,0))="",INDEX($C$4:$F$4,MATCH(MAX(C34:F34),C34:F34,0)),INDEX($C$6:$F$6,MATCH(MAX(C34:F34),C34:F34,0))))</f>
        <v/>
      </c>
    </row>
    <row r="35">
      <c r="A35" s="8" t="inlineStr">
        <is>
          <t>PORTFOLIO AND MANAGEMENT</t>
        </is>
      </c>
      <c r="B35" s="9" t="n"/>
      <c r="C35" s="9" t="n"/>
      <c r="D35" s="9" t="n"/>
      <c r="E35" s="9" t="n"/>
      <c r="F35" s="9" t="n"/>
      <c r="G35" s="10" t="n"/>
    </row>
    <row r="36">
      <c r="A36" s="11" t="inlineStr">
        <is>
          <t>Top-10 concentration</t>
        </is>
      </c>
      <c r="B36" s="12" t="inlineStr">
        <is>
          <t>n/a</t>
        </is>
      </c>
      <c r="C36" s="26" t="n"/>
      <c r="D36" s="26" t="n"/>
      <c r="E36" s="26" t="n"/>
      <c r="F36" s="26" t="n"/>
      <c r="G36" s="24" t="n"/>
    </row>
    <row r="37">
      <c r="A37" s="11" t="inlineStr">
        <is>
          <t>Number of stocks</t>
        </is>
      </c>
      <c r="B37" s="12" t="inlineStr">
        <is>
          <t>n/a</t>
        </is>
      </c>
      <c r="C37" s="29" t="n"/>
      <c r="D37" s="29" t="n"/>
      <c r="E37" s="29" t="n"/>
      <c r="F37" s="29" t="n"/>
      <c r="G37" s="24" t="n"/>
    </row>
    <row r="38">
      <c r="A38" s="11" t="inlineStr">
        <is>
          <t>Portfolio turnover ratio</t>
        </is>
      </c>
      <c r="B38" s="12" t="inlineStr">
        <is>
          <t>Lower</t>
        </is>
      </c>
      <c r="C38" s="26" t="n"/>
      <c r="D38" s="26" t="n"/>
      <c r="E38" s="26" t="n"/>
      <c r="F38" s="26" t="n"/>
      <c r="G38" s="27">
        <f>IF(COUNT(C38:F38)=0,"",IF(INDEX($C$6:$F$6,MATCH(MIN(C38:F38),C38:F38,0))="",INDEX($C$4:$F$4,MATCH(MIN(C38:F38),C38:F38,0)),INDEX($C$6:$F$6,MATCH(MIN(C38:F38),C38:F38,0))))</f>
        <v/>
      </c>
    </row>
    <row r="39">
      <c r="A39" s="11" t="inlineStr">
        <is>
          <t>Cash position</t>
        </is>
      </c>
      <c r="B39" s="12" t="inlineStr">
        <is>
          <t>n/a</t>
        </is>
      </c>
      <c r="C39" s="26" t="n"/>
      <c r="D39" s="26" t="n"/>
      <c r="E39" s="26" t="n"/>
      <c r="F39" s="26" t="n"/>
      <c r="G39" s="24" t="n"/>
    </row>
    <row r="40">
      <c r="A40" s="11" t="inlineStr">
        <is>
          <t>Portfolio P/E</t>
        </is>
      </c>
      <c r="B40" s="12" t="inlineStr">
        <is>
          <t>n/a</t>
        </is>
      </c>
      <c r="C40" s="28" t="n"/>
      <c r="D40" s="28" t="n"/>
      <c r="E40" s="28" t="n"/>
      <c r="F40" s="28" t="n"/>
      <c r="G40" s="24" t="n"/>
    </row>
    <row r="41">
      <c r="A41" s="11" t="inlineStr">
        <is>
          <t>Manager tenure on scheme (years)</t>
        </is>
      </c>
      <c r="B41" s="12" t="inlineStr">
        <is>
          <t>Higher</t>
        </is>
      </c>
      <c r="C41" s="30" t="n"/>
      <c r="D41" s="30" t="n"/>
      <c r="E41" s="30" t="n"/>
      <c r="F41" s="30" t="n"/>
      <c r="G41" s="27">
        <f>IF(COUNT(C41:F41)=0,"",IF(INDEX($C$6:$F$6,MATCH(MAX(C41:F41),C41:F41,0))="",INDEX($C$4:$F$4,MATCH(MAX(C41:F41),C41:F41,0)),INDEX($C$6:$F$6,MATCH(MAX(C41:F41),C41:F41,0))))</f>
        <v/>
      </c>
    </row>
    <row r="42">
      <c r="A42" s="11" t="inlineStr">
        <is>
          <t>Overlap with existing portfolio</t>
        </is>
      </c>
      <c r="B42" s="12" t="inlineStr">
        <is>
          <t>Lower</t>
        </is>
      </c>
      <c r="C42" s="26" t="n"/>
      <c r="D42" s="26" t="n"/>
      <c r="E42" s="26" t="n"/>
      <c r="F42" s="26" t="n"/>
      <c r="G42" s="27">
        <f>IF(COUNT(C42:F42)=0,"",IF(INDEX($C$6:$F$6,MATCH(MIN(C42:F42),C42:F42,0))="",INDEX($C$4:$F$4,MATCH(MIN(C42:F42),C42:F42,0)),INDEX($C$6:$F$6,MATCH(MIN(C42:F42),C42:F42,0))))</f>
        <v/>
      </c>
    </row>
    <row r="43">
      <c r="A43" s="8" t="inlineStr">
        <is>
          <t>CONSISTENCY</t>
        </is>
      </c>
      <c r="B43" s="9" t="n"/>
      <c r="C43" s="9" t="n"/>
      <c r="D43" s="9" t="n"/>
      <c r="E43" s="9" t="n"/>
      <c r="F43" s="9" t="n"/>
      <c r="G43" s="10" t="n"/>
    </row>
    <row r="44">
      <c r="A44" s="11" t="inlineStr">
        <is>
          <t>Batting average vs benchmark</t>
        </is>
      </c>
      <c r="B44" s="12" t="inlineStr">
        <is>
          <t>Higher</t>
        </is>
      </c>
      <c r="C44" s="26" t="n"/>
      <c r="D44" s="26" t="n"/>
      <c r="E44" s="26" t="n"/>
      <c r="F44" s="26" t="n"/>
      <c r="G44" s="27">
        <f>IF(COUNT(C44:F44)=0,"",IF(INDEX($C$6:$F$6,MATCH(MAX(C44:F44),C44:F44,0))="",INDEX($C$4:$F$4,MATCH(MAX(C44:F44),C44:F44,0)),INDEX($C$6:$F$6,MATCH(MAX(C44:F44),C44:F44,0))))</f>
        <v/>
      </c>
    </row>
    <row r="45">
      <c r="A45" s="8" t="inlineStr">
        <is>
          <t>VERDICT</t>
        </is>
      </c>
      <c r="B45" s="9" t="n"/>
      <c r="C45" s="9" t="n"/>
      <c r="D45" s="9" t="n"/>
      <c r="E45" s="9" t="n"/>
      <c r="F45" s="9" t="n"/>
      <c r="G45" s="10" t="n"/>
    </row>
    <row r="46">
      <c r="A46" s="11" t="inlineStr">
        <is>
          <t>Overall verdict</t>
        </is>
      </c>
      <c r="B46" s="12" t="inlineStr">
        <is>
          <t>n/a</t>
        </is>
      </c>
      <c r="C46" s="23" t="n"/>
      <c r="D46" s="23" t="n"/>
      <c r="E46" s="23" t="n"/>
      <c r="F46" s="23" t="n"/>
      <c r="G46" s="24" t="n"/>
    </row>
    <row r="47">
      <c r="A47" s="11" t="inlineStr">
        <is>
          <t>Key reason</t>
        </is>
      </c>
      <c r="B47" s="12" t="inlineStr">
        <is>
          <t>n/a</t>
        </is>
      </c>
      <c r="C47" s="23" t="n"/>
      <c r="D47" s="23" t="n"/>
      <c r="E47" s="23" t="n"/>
      <c r="F47" s="23" t="n"/>
      <c r="G47" s="24" t="n"/>
    </row>
    <row r="48"/>
    <row r="49">
      <c r="A49" s="21" t="inlineStr">
        <is>
          <t>"n/a" rows are context: compare them against the fund's mandate rather than ranking them. Beta "Lower" assumes you prefer less market sensitivity.</t>
        </is>
      </c>
    </row>
  </sheetData>
  <mergeCells count="8">
    <mergeCell ref="A13:G13"/>
    <mergeCell ref="A17:G17"/>
    <mergeCell ref="A45:G45"/>
    <mergeCell ref="A35:G35"/>
    <mergeCell ref="A2:G2"/>
    <mergeCell ref="A25:G25"/>
    <mergeCell ref="A43:G43"/>
    <mergeCell ref="A5:G5"/>
  </mergeCells>
  <conditionalFormatting sqref="C5:F47">
    <cfRule type="cellIs" priority="1" operator="equal" dxfId="0">
      <formula>"Pass"</formula>
    </cfRule>
    <cfRule type="cellIs" priority="2" operator="equal" dxfId="1">
      <formula>"Watch"</formula>
    </cfRule>
    <cfRule type="cellIs" priority="3" operator="equal" dxfId="2">
      <formula>"Fail"</formula>
    </cfRule>
  </conditionalFormatting>
  <dataValidations count="1">
    <dataValidation sqref="C46 D46 E46 F46" showDropDown="0" showInputMessage="0" showErrorMessage="1" allowBlank="1" errorTitle="Verdict" error="Choose Pass, Watch or Fail." type="list">
      <formula1>"Pass,Watch,Fail"</formula1>
    </dataValidation>
  </dataValidation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2026-10-03T17:33:50Z</dcterms:created>
  <dcterms:modified xmlns:dcterms="http://purl.org/dc/terms/" xmlns:xsi="http://www.w3.org/2001/XMLSchema-instance" xsi:type="dcterms:W3CDTF">2026-10-03T17:33:50Z</dcterms:modified>
</cp:coreProperties>
</file>